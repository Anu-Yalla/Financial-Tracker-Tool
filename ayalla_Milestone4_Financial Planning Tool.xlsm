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AnuYa\OneDrive\Documents\"/>
    </mc:Choice>
  </mc:AlternateContent>
  <xr:revisionPtr revIDLastSave="0" documentId="8_{54D0FBE6-8B95-43D6-9CA3-3E00B41F7B18}" xr6:coauthVersionLast="47" xr6:coauthVersionMax="47" xr10:uidLastSave="{00000000-0000-0000-0000-000000000000}"/>
  <bookViews>
    <workbookView xWindow="-120" yWindow="-120" windowWidth="20730" windowHeight="11040" xr2:uid="{00000000-000D-0000-FFFF-FFFF00000000}"/>
  </bookViews>
  <sheets>
    <sheet name="Dashboard" sheetId="8" r:id="rId1"/>
    <sheet name="Expenses&amp;Incomes" sheetId="1" r:id="rId2"/>
    <sheet name="TuitionTracker" sheetId="9" r:id="rId3"/>
    <sheet name="BudgetGoals" sheetId="4" r:id="rId4"/>
    <sheet name="Funding" sheetId="11" r:id="rId5"/>
    <sheet name="FinancialAdvice" sheetId="12" r:id="rId6"/>
  </sheets>
  <functionGroups builtInGroupCount="19"/>
  <definedNames>
    <definedName name="_xleta.DATE" hidden="1" xlm="1">#NAME?</definedName>
    <definedName name="Slicer_Category">#N/A</definedName>
    <definedName name="Slicer_Essential_Non_Essential">#N/A</definedName>
    <definedName name="Slicer_Income_Expense">#N/A</definedName>
    <definedName name="Slicer_Term">#N/A</definedName>
    <definedName name="Slicer_Term1">#N/A</definedName>
  </definedNames>
  <calcPr calcId="191028"/>
  <pivotCaches>
    <pivotCache cacheId="816" r:id="rId7"/>
    <pivotCache cacheId="823"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11" l="1"/>
  <c r="J5" i="1"/>
  <c r="E3" i="4"/>
  <c r="E4" i="4"/>
  <c r="E5" i="4"/>
  <c r="E6" i="4"/>
  <c r="E2" i="4"/>
  <c r="D3" i="4"/>
  <c r="D4" i="4"/>
  <c r="D5" i="4"/>
  <c r="D6" i="4"/>
  <c r="D2" i="4"/>
</calcChain>
</file>

<file path=xl/sharedStrings.xml><?xml version="1.0" encoding="utf-8"?>
<sst xmlns="http://schemas.openxmlformats.org/spreadsheetml/2006/main" count="135" uniqueCount="82">
  <si>
    <t>Date</t>
  </si>
  <si>
    <t>Item</t>
  </si>
  <si>
    <t>Category</t>
  </si>
  <si>
    <t>Description</t>
  </si>
  <si>
    <t>Amount</t>
  </si>
  <si>
    <t>Essential/Non-Essential</t>
  </si>
  <si>
    <t>Term</t>
  </si>
  <si>
    <t>Rent</t>
  </si>
  <si>
    <t>Essential</t>
  </si>
  <si>
    <t>Food</t>
  </si>
  <si>
    <t>Non-Essential</t>
  </si>
  <si>
    <t>Entertainment</t>
  </si>
  <si>
    <t>Term 1A</t>
  </si>
  <si>
    <t>Bills</t>
  </si>
  <si>
    <t>Payment Deadline</t>
  </si>
  <si>
    <t>Saved Amount</t>
  </si>
  <si>
    <t>Remaining Amount</t>
  </si>
  <si>
    <t>Days Remaining</t>
  </si>
  <si>
    <t>Status</t>
  </si>
  <si>
    <t>Pending</t>
  </si>
  <si>
    <t>Goal</t>
  </si>
  <si>
    <t>Actual</t>
  </si>
  <si>
    <t>Difference</t>
  </si>
  <si>
    <t>Utilities</t>
  </si>
  <si>
    <t>Total</t>
  </si>
  <si>
    <t>Interest Rate</t>
  </si>
  <si>
    <t>Duration (Months)</t>
  </si>
  <si>
    <t>Monthly Payment</t>
  </si>
  <si>
    <t>Scholarship</t>
  </si>
  <si>
    <t>Grant</t>
  </si>
  <si>
    <t>Loan (OSAP)</t>
  </si>
  <si>
    <t>Net Cash Flow</t>
  </si>
  <si>
    <t>Term 1B</t>
  </si>
  <si>
    <t>Total Expenses</t>
  </si>
  <si>
    <t>Total:</t>
  </si>
  <si>
    <t>Name</t>
  </si>
  <si>
    <t>Overdue</t>
  </si>
  <si>
    <t>Winter term fees</t>
  </si>
  <si>
    <t>Test a today due date</t>
  </si>
  <si>
    <t>Due Today</t>
  </si>
  <si>
    <t>Test an overdue day</t>
  </si>
  <si>
    <t>Cake</t>
  </si>
  <si>
    <t>yum yum</t>
  </si>
  <si>
    <t>Total Saved Amount</t>
  </si>
  <si>
    <t>Total Remaining Amount</t>
  </si>
  <si>
    <t>Tuition Tracker Summary</t>
  </si>
  <si>
    <t>Shopping</t>
  </si>
  <si>
    <t>Row Labels</t>
  </si>
  <si>
    <t>Grand Total</t>
  </si>
  <si>
    <t>(blank)</t>
  </si>
  <si>
    <t>Sum of Amount</t>
  </si>
  <si>
    <t>(All)</t>
  </si>
  <si>
    <t>black friday sale</t>
  </si>
  <si>
    <t>Income</t>
  </si>
  <si>
    <t>Expense</t>
  </si>
  <si>
    <t>Income/Expense</t>
  </si>
  <si>
    <t>gift card</t>
  </si>
  <si>
    <t>Cash Flow Summary</t>
  </si>
  <si>
    <t>Total Income</t>
  </si>
  <si>
    <t>Total Funding</t>
  </si>
  <si>
    <t>Total Tuition Paid</t>
  </si>
  <si>
    <t>Total Tuition Remaining</t>
  </si>
  <si>
    <t>Total Budgeted</t>
  </si>
  <si>
    <t>Total Actual</t>
  </si>
  <si>
    <t>Total Difference</t>
  </si>
  <si>
    <t>present</t>
  </si>
  <si>
    <t>paycheck</t>
  </si>
  <si>
    <t>Total Income:</t>
  </si>
  <si>
    <t>Total Expenses:</t>
  </si>
  <si>
    <t>2024-20-1</t>
  </si>
  <si>
    <t>Waterloo Merch</t>
  </si>
  <si>
    <t>yayyy</t>
  </si>
  <si>
    <t>electric</t>
  </si>
  <si>
    <t>-</t>
  </si>
  <si>
    <t>(Multiple Items)</t>
  </si>
  <si>
    <t>Total Tuition Fees</t>
  </si>
  <si>
    <t>Funding Summary</t>
  </si>
  <si>
    <t>Total Funding Amount</t>
  </si>
  <si>
    <t>Total Grant Amount</t>
  </si>
  <si>
    <t>Total Scholarship Amount</t>
  </si>
  <si>
    <t>Total Monthly Payment (Loans)</t>
  </si>
  <si>
    <t>Pay This Much This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</si>
</sst>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6" formatCode="&quot;$&quot;#,##0;[Red]\-&quot;$&quot;#,##0"/>
    <numFmt numFmtId="8" formatCode="&quot;$&quot;#,##0.00;[Red]\-&quot;$&quot;#,##0.00"/>
    <numFmt numFmtId="44" formatCode="_-&quot;$&quot;* #,##0.00_-;\-&quot;$&quot;* #,##0.00_-;_-&quot;$&quot;* &quot;-&quot;??_-;_-@_-"/>
    <numFmt numFmtId="164" formatCode="yyyy\-mm\-dd;@"/>
    <numFmt numFmtId="165" formatCode="&quot;$&quot;#,##0.00"/>
  </numFmts>
  <fonts count="12" x14ac:knownFonts="1">
    <font>
      <sz val="11"/>
      <color theme="1"/>
      <name val="Calibri"/>
      <family val="2"/>
      <scheme val="minor"/>
    </font>
    <font>
      <sz val="11"/>
      <color rgb="FF000000"/>
      <name val="Calibri"/>
      <family val="2"/>
    </font>
    <font>
      <b/>
      <sz val="11"/>
      <color theme="1"/>
      <name val="Calibri"/>
      <family val="2"/>
      <scheme val="minor"/>
    </font>
    <font>
      <b/>
      <sz val="12"/>
      <color rgb="FF000000"/>
      <name val="Calibri"/>
      <family val="2"/>
    </font>
    <font>
      <sz val="11"/>
      <color theme="1"/>
      <name val="Calibri"/>
      <family val="2"/>
      <scheme val="minor"/>
    </font>
    <font>
      <b/>
      <sz val="11"/>
      <name val="Calibri"/>
      <family val="2"/>
      <scheme val="minor"/>
    </font>
    <font>
      <b/>
      <sz val="18"/>
      <color rgb="FF003366"/>
      <name val="Calibri"/>
      <family val="2"/>
      <scheme val="minor"/>
    </font>
    <font>
      <b/>
      <sz val="15"/>
      <color theme="3"/>
      <name val="Calibri"/>
      <family val="2"/>
      <scheme val="minor"/>
    </font>
    <font>
      <sz val="11"/>
      <name val="Calibri"/>
      <family val="2"/>
      <scheme val="minor"/>
    </font>
    <font>
      <b/>
      <sz val="12"/>
      <name val="Calibri"/>
      <family val="2"/>
      <scheme val="minor"/>
    </font>
    <font>
      <b/>
      <sz val="12"/>
      <color theme="1"/>
      <name val="Calibri"/>
      <family val="2"/>
      <scheme val="minor"/>
    </font>
    <font>
      <b/>
      <sz val="20"/>
      <color rgb="FF000000"/>
      <name val="Calibri"/>
      <family val="2"/>
    </font>
  </fonts>
  <fills count="7">
    <fill>
      <patternFill patternType="none"/>
    </fill>
    <fill>
      <patternFill patternType="gray125"/>
    </fill>
    <fill>
      <patternFill patternType="solid">
        <fgColor rgb="FFFF0000"/>
        <bgColor indexed="64"/>
      </patternFill>
    </fill>
    <fill>
      <patternFill patternType="solid">
        <fgColor rgb="FF00FF00"/>
        <bgColor indexed="64"/>
      </patternFill>
    </fill>
    <fill>
      <patternFill patternType="solid">
        <fgColor rgb="FFFDA9A9"/>
        <bgColor indexed="64"/>
      </patternFill>
    </fill>
    <fill>
      <patternFill patternType="solid">
        <fgColor theme="7" tint="0.59999389629810485"/>
        <bgColor indexed="64"/>
      </patternFill>
    </fill>
    <fill>
      <patternFill patternType="solid">
        <fgColor rgb="FFE6CCFF"/>
        <bgColor indexed="64"/>
      </patternFill>
    </fill>
  </fills>
  <borders count="7">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s>
  <cellStyleXfs count="4">
    <xf numFmtId="0" fontId="0" fillId="0" borderId="0"/>
    <xf numFmtId="9" fontId="4" fillId="0" borderId="0" applyFont="0" applyFill="0" applyBorder="0" applyAlignment="0" applyProtection="0"/>
    <xf numFmtId="44" fontId="4" fillId="0" borderId="0" applyFont="0" applyFill="0" applyBorder="0" applyAlignment="0" applyProtection="0"/>
    <xf numFmtId="0" fontId="7" fillId="0" borderId="1" applyNumberFormat="0" applyFill="0" applyAlignment="0" applyProtection="0"/>
  </cellStyleXfs>
  <cellXfs count="56">
    <xf numFmtId="0" fontId="0" fillId="0" borderId="0" xfId="0"/>
    <xf numFmtId="164" fontId="0" fillId="0" borderId="0" xfId="0" applyNumberFormat="1"/>
    <xf numFmtId="0" fontId="2" fillId="0" borderId="0" xfId="0" applyFont="1" applyAlignment="1">
      <alignment horizontal="center" vertical="center" wrapText="1"/>
    </xf>
    <xf numFmtId="0" fontId="0" fillId="0" borderId="0" xfId="0" applyAlignment="1">
      <alignment horizontal="left" vertical="center" wrapText="1"/>
    </xf>
    <xf numFmtId="6" fontId="0" fillId="0" borderId="0" xfId="0" applyNumberFormat="1" applyAlignment="1">
      <alignment horizontal="left" vertical="center" wrapText="1"/>
    </xf>
    <xf numFmtId="164" fontId="0" fillId="0" borderId="0" xfId="0" applyNumberFormat="1" applyAlignment="1">
      <alignment horizontal="left" vertical="center" wrapText="1"/>
    </xf>
    <xf numFmtId="0" fontId="0" fillId="0" borderId="0" xfId="0" applyAlignment="1">
      <alignment horizontal="left"/>
    </xf>
    <xf numFmtId="0" fontId="0" fillId="0" borderId="0" xfId="0" applyAlignment="1">
      <alignment vertical="center" wrapText="1"/>
    </xf>
    <xf numFmtId="0" fontId="5" fillId="0" borderId="0" xfId="0" applyFont="1" applyAlignment="1">
      <alignment horizontal="center" vertical="center" wrapText="1"/>
    </xf>
    <xf numFmtId="9" fontId="0" fillId="0" borderId="0" xfId="1" applyFont="1" applyAlignment="1">
      <alignment horizontal="left" vertical="center" wrapText="1"/>
    </xf>
    <xf numFmtId="0" fontId="0" fillId="0" borderId="0" xfId="0" applyAlignment="1">
      <alignment wrapText="1"/>
    </xf>
    <xf numFmtId="14" fontId="0" fillId="0" borderId="0" xfId="0" applyNumberFormat="1"/>
    <xf numFmtId="44" fontId="0" fillId="0" borderId="0" xfId="2" applyFont="1" applyAlignment="1">
      <alignment horizontal="left" vertical="center" wrapText="1"/>
    </xf>
    <xf numFmtId="44" fontId="2" fillId="0" borderId="0" xfId="2" applyFont="1" applyAlignment="1">
      <alignment horizontal="center" vertical="center" wrapText="1"/>
    </xf>
    <xf numFmtId="44" fontId="0" fillId="0" borderId="0" xfId="2" applyFont="1" applyAlignment="1">
      <alignment horizontal="left"/>
    </xf>
    <xf numFmtId="44" fontId="0" fillId="0" borderId="0" xfId="2" applyFont="1"/>
    <xf numFmtId="165" fontId="0" fillId="0" borderId="0" xfId="0" applyNumberFormat="1"/>
    <xf numFmtId="0" fontId="6" fillId="0" borderId="0" xfId="0" applyFont="1" applyAlignment="1">
      <alignment horizontal="center"/>
    </xf>
    <xf numFmtId="0" fontId="0" fillId="0" borderId="0" xfId="0" pivotButton="1"/>
    <xf numFmtId="0" fontId="0" fillId="0" borderId="0" xfId="0" applyNumberFormat="1"/>
    <xf numFmtId="0" fontId="0" fillId="0" borderId="0" xfId="0" applyAlignment="1">
      <alignment horizontal="left" indent="1"/>
    </xf>
    <xf numFmtId="0" fontId="0" fillId="0" borderId="0" xfId="0" applyFill="1"/>
    <xf numFmtId="165" fontId="0" fillId="2" borderId="0" xfId="0" applyNumberFormat="1" applyFill="1" applyAlignment="1">
      <alignment horizontal="left" vertical="center" wrapText="1"/>
    </xf>
    <xf numFmtId="0" fontId="0" fillId="4" borderId="0" xfId="0" applyFill="1"/>
    <xf numFmtId="165" fontId="0" fillId="3" borderId="0" xfId="0" applyNumberFormat="1" applyFill="1" applyAlignment="1">
      <alignment horizontal="left" vertical="center" wrapText="1"/>
    </xf>
    <xf numFmtId="0" fontId="0" fillId="0" borderId="0" xfId="0" applyFill="1" applyAlignment="1">
      <alignment horizontal="left" vertical="center" wrapText="1"/>
    </xf>
    <xf numFmtId="165" fontId="0" fillId="0" borderId="0" xfId="0" applyNumberFormat="1" applyFill="1" applyAlignment="1">
      <alignment horizontal="left" vertical="center" wrapText="1"/>
    </xf>
    <xf numFmtId="0" fontId="0" fillId="0" borderId="0" xfId="0" applyNumberFormat="1" applyAlignment="1">
      <alignment horizontal="left" vertical="center" wrapText="1"/>
    </xf>
    <xf numFmtId="0" fontId="8" fillId="5" borderId="0" xfId="2" applyNumberFormat="1" applyFont="1" applyFill="1"/>
    <xf numFmtId="0" fontId="0" fillId="5" borderId="0" xfId="0" applyFill="1"/>
    <xf numFmtId="165" fontId="0" fillId="0" borderId="0" xfId="0" applyNumberFormat="1" applyAlignment="1">
      <alignment horizontal="left"/>
    </xf>
    <xf numFmtId="0" fontId="2" fillId="0" borderId="0" xfId="0" applyFont="1" applyFill="1"/>
    <xf numFmtId="0" fontId="5" fillId="0" borderId="0" xfId="0" applyFont="1" applyFill="1"/>
    <xf numFmtId="0" fontId="9" fillId="6" borderId="5" xfId="0" applyFont="1" applyFill="1" applyBorder="1" applyAlignment="1">
      <alignment horizontal="center"/>
    </xf>
    <xf numFmtId="0" fontId="10" fillId="0" borderId="5" xfId="0" applyFont="1" applyFill="1" applyBorder="1" applyAlignment="1">
      <alignment horizontal="left"/>
    </xf>
    <xf numFmtId="0" fontId="2" fillId="0" borderId="5" xfId="0" applyFont="1" applyFill="1" applyBorder="1" applyAlignment="1"/>
    <xf numFmtId="0" fontId="2" fillId="0" borderId="5" xfId="0" applyFont="1" applyBorder="1"/>
    <xf numFmtId="0" fontId="0" fillId="0" borderId="0" xfId="0" applyFill="1" applyBorder="1"/>
    <xf numFmtId="165" fontId="0" fillId="0" borderId="0" xfId="0" applyNumberFormat="1" applyFill="1" applyBorder="1" applyAlignment="1">
      <alignment horizontal="left"/>
    </xf>
    <xf numFmtId="165" fontId="0" fillId="0" borderId="0" xfId="0" applyNumberFormat="1" applyFill="1" applyBorder="1"/>
    <xf numFmtId="0" fontId="2" fillId="0" borderId="6" xfId="0" applyFont="1" applyBorder="1"/>
    <xf numFmtId="165" fontId="2" fillId="0" borderId="0" xfId="0" applyNumberFormat="1" applyFont="1" applyFill="1" applyBorder="1" applyAlignment="1">
      <alignment horizontal="center"/>
    </xf>
    <xf numFmtId="165" fontId="9" fillId="6" borderId="3" xfId="0" applyNumberFormat="1" applyFont="1" applyFill="1" applyBorder="1" applyAlignment="1">
      <alignment horizontal="center"/>
    </xf>
    <xf numFmtId="165" fontId="10" fillId="0" borderId="3" xfId="0" applyNumberFormat="1" applyFont="1" applyFill="1" applyBorder="1" applyAlignment="1">
      <alignment horizontal="left"/>
    </xf>
    <xf numFmtId="165" fontId="2" fillId="0" borderId="3" xfId="0" applyNumberFormat="1" applyFont="1" applyFill="1" applyBorder="1" applyAlignment="1">
      <alignment horizontal="left"/>
    </xf>
    <xf numFmtId="165" fontId="2" fillId="0" borderId="3" xfId="0" applyNumberFormat="1" applyFont="1" applyBorder="1" applyAlignment="1">
      <alignment horizontal="left"/>
    </xf>
    <xf numFmtId="165" fontId="2" fillId="0" borderId="4" xfId="0" applyNumberFormat="1" applyFont="1" applyBorder="1" applyAlignment="1">
      <alignment horizontal="left"/>
    </xf>
    <xf numFmtId="8" fontId="0" fillId="0" borderId="0" xfId="0" applyNumberFormat="1" applyAlignment="1">
      <alignment horizontal="left" vertical="center" wrapText="1"/>
    </xf>
    <xf numFmtId="164" fontId="0" fillId="0" borderId="0" xfId="0" applyNumberFormat="1" applyFill="1" applyAlignment="1">
      <alignment horizontal="left" vertical="center" wrapText="1"/>
    </xf>
    <xf numFmtId="6" fontId="0" fillId="0" borderId="0" xfId="0" applyNumberFormat="1" applyFill="1" applyAlignment="1">
      <alignment horizontal="left" vertical="center" wrapText="1"/>
    </xf>
    <xf numFmtId="165" fontId="2" fillId="6" borderId="2" xfId="0" applyNumberFormat="1" applyFont="1" applyFill="1" applyBorder="1" applyAlignment="1">
      <alignment horizontal="center"/>
    </xf>
    <xf numFmtId="0" fontId="0" fillId="0" borderId="2" xfId="0" applyBorder="1"/>
    <xf numFmtId="165" fontId="0" fillId="0" borderId="2" xfId="0" applyNumberFormat="1" applyBorder="1"/>
    <xf numFmtId="165" fontId="7" fillId="0" borderId="1" xfId="3" applyNumberFormat="1"/>
    <xf numFmtId="0" fontId="2" fillId="6" borderId="2" xfId="0" applyFont="1" applyFill="1" applyBorder="1" applyAlignment="1">
      <alignment horizontal="center"/>
    </xf>
    <xf numFmtId="0" fontId="7" fillId="0" borderId="1" xfId="3"/>
  </cellXfs>
  <cellStyles count="4">
    <cellStyle name="Currency" xfId="2" builtinId="4"/>
    <cellStyle name="Heading 1" xfId="3" builtinId="16"/>
    <cellStyle name="Normal" xfId="0" builtinId="0"/>
    <cellStyle name="Percent" xfId="1" builtinId="5"/>
  </cellStyles>
  <dxfs count="44">
    <dxf>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numFmt numFmtId="10" formatCode="&quot;$&quot;#,##0;[Red]\-&quot;$&quot;#,##0"/>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bgColor rgb="FFDBB7FF"/>
        </patternFill>
      </fill>
    </dxf>
    <dxf>
      <border>
        <left style="thin">
          <color rgb="FFDEBDFF"/>
        </left>
        <right style="thin">
          <color rgb="FFDEBDFF"/>
        </right>
        <top style="thin">
          <color rgb="FFDEBDFF"/>
        </top>
        <bottom style="thin">
          <color rgb="FFDEBDFF"/>
        </bottom>
      </border>
    </dxf>
    <dxf>
      <border>
        <left style="thin">
          <color rgb="FFDEBDFF"/>
        </left>
        <right style="thin">
          <color rgb="FFDEBDFF"/>
        </right>
        <top style="thin">
          <color rgb="FFDEBDFF"/>
        </top>
        <bottom style="thin">
          <color rgb="FFDEBDFF"/>
        </bottom>
      </border>
    </dxf>
    <dxf>
      <border>
        <left style="thin">
          <color rgb="FFDEBDFF"/>
        </left>
        <right style="thin">
          <color rgb="FFDEBDFF"/>
        </right>
        <top style="thin">
          <color rgb="FFDEBDFF"/>
        </top>
        <bottom style="thin">
          <color rgb="FFDEBDFF"/>
        </bottom>
      </border>
    </dxf>
    <dxf>
      <border>
        <left style="thin">
          <color rgb="FFDEBDFF"/>
        </left>
        <right style="thin">
          <color rgb="FFDEBDFF"/>
        </right>
        <top style="thin">
          <color rgb="FFDEBDFF"/>
        </top>
        <bottom style="thin">
          <color rgb="FFDEBDFF"/>
        </bottom>
      </border>
    </dxf>
    <dxf>
      <font>
        <b/>
        <color theme="1"/>
      </font>
      <border>
        <left style="thin">
          <color rgb="FFDEBDFF"/>
        </left>
        <right style="thin">
          <color rgb="FFDEBDFF"/>
        </right>
        <top style="thin">
          <color rgb="FFDEBDFF"/>
        </top>
        <bottom style="thin">
          <color rgb="FFDEBDFF"/>
        </bottom>
      </border>
    </dxf>
    <dxf>
      <font>
        <b/>
        <color theme="1"/>
      </font>
      <border>
        <left style="thin">
          <color rgb="FFDEBDFF"/>
        </left>
        <right style="thin">
          <color rgb="FFDEBDFF"/>
        </right>
        <top style="thin">
          <color rgb="FFDEBDFF"/>
        </top>
        <bottom style="thin">
          <color rgb="FFDEBDFF"/>
        </bottom>
      </border>
    </dxf>
    <dxf>
      <font>
        <b/>
        <color theme="1"/>
      </font>
      <border>
        <left style="double">
          <color rgb="FFDEBDFF"/>
        </left>
        <right style="double">
          <color rgb="FFDEBDFF"/>
        </right>
        <top style="double">
          <color rgb="FFDEBDFF"/>
        </top>
        <bottom style="double">
          <color rgb="FFDEBDFF"/>
        </bottom>
      </border>
    </dxf>
    <dxf>
      <font>
        <color theme="1"/>
      </font>
      <fill>
        <patternFill patternType="solid">
          <fgColor theme="8"/>
          <bgColor rgb="FFDEBDFF"/>
        </patternFill>
      </fill>
      <border>
        <left style="thin">
          <color rgb="FFDEBDFF"/>
        </left>
        <right style="thin">
          <color rgb="FFDEBDFF"/>
        </right>
        <top style="thin">
          <color rgb="FFDEBDFF"/>
        </top>
        <bottom style="thin">
          <color rgb="FFDEBDFF"/>
        </bottom>
      </border>
    </dxf>
    <dxf>
      <font>
        <color theme="1"/>
      </font>
      <border diagonalUp="0" diagonalDown="0">
        <left style="thin">
          <color rgb="FFDEBDFF"/>
        </left>
        <right style="thin">
          <color rgb="FFDEBDFF"/>
        </right>
        <top style="thin">
          <color rgb="FFDEBDFF"/>
        </top>
        <bottom style="thin">
          <color rgb="FFDEBDFF"/>
        </bottom>
        <vertical/>
        <horizontal/>
      </border>
    </dxf>
  </dxfs>
  <tableStyles count="2" defaultTableStyle="EngPurple" defaultPivotStyle="PivotStyleMedium9">
    <tableStyle name="EngPurple" pivot="0" count="9" xr9:uid="{FB99533C-FB30-461C-A11A-5758113AF753}">
      <tableStyleElement type="wholeTable" dxfId="43"/>
      <tableStyleElement type="headerRow" dxfId="42"/>
      <tableStyleElement type="totalRow" dxfId="41"/>
      <tableStyleElement type="firstColumn" dxfId="40"/>
      <tableStyleElement type="lastColumn" dxfId="39"/>
      <tableStyleElement type="firstRowStripe" dxfId="38"/>
      <tableStyleElement type="secondRowStripe" dxfId="37"/>
      <tableStyleElement type="firstColumnStripe" dxfId="36"/>
      <tableStyleElement type="secondColumnStripe" dxfId="35"/>
    </tableStyle>
    <tableStyle name="LilacEng" pivot="0" count="1" xr9:uid="{C14DE11D-96FE-429D-98B9-5C445A51E3E5}">
      <tableStyleElement type="headerRow" dxfId="34"/>
    </tableStyle>
  </tableStyles>
  <colors>
    <mruColors>
      <color rgb="FFCC99FF"/>
      <color rgb="FFFDA9A9"/>
      <color rgb="FFDBB7FF"/>
      <color rgb="FFDEBDFF"/>
      <color rgb="FFD7AFFF"/>
      <color rgb="FFD9B3FF"/>
      <color rgb="FFFFAB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[ayalla_Milestone4_Financial Planning Tool.xlsm]Dashboard!PivotTable16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a:t>
            </a:r>
            <a:r>
              <a:rPr lang="en-US" baseline="0"/>
              <a:t> Of Cash Flow</a:t>
            </a:r>
            <a:endParaRPr lang="en-US"/>
          </a:p>
        </c:rich>
      </c:tx>
      <c:layout>
        <c:manualLayout>
          <c:xMode val="edge"/>
          <c:yMode val="edge"/>
          <c:x val="0.4263678915135608"/>
          <c:y val="0.2109215514727325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C99FF"/>
          </a:solidFill>
          <a:ln w="19050">
            <a:solidFill>
              <a:schemeClr val="lt1"/>
            </a:solidFill>
          </a:ln>
          <a:effectLst/>
        </c:spPr>
      </c:pivotFmt>
    </c:pivotFmts>
    <c:plotArea>
      <c:layout/>
      <c:pieChart>
        <c:varyColors val="1"/>
        <c:ser>
          <c:idx val="0"/>
          <c:order val="0"/>
          <c:tx>
            <c:strRef>
              <c:f>Dashboard!$N$4</c:f>
              <c:strCache>
                <c:ptCount val="1"/>
                <c:pt idx="0">
                  <c:v>Total</c:v>
                </c:pt>
              </c:strCache>
            </c:strRef>
          </c:tx>
          <c:dPt>
            <c:idx val="0"/>
            <c:bubble3D val="0"/>
            <c:spPr>
              <a:solidFill>
                <a:schemeClr val="accent1"/>
              </a:solidFill>
              <a:ln w="19050">
                <a:solidFill>
                  <a:schemeClr val="lt1"/>
                </a:solidFill>
              </a:ln>
              <a:effectLst/>
            </c:spPr>
          </c:dPt>
          <c:dPt>
            <c:idx val="1"/>
            <c:bubble3D val="0"/>
            <c:spPr>
              <a:solidFill>
                <a:srgbClr val="CC99FF"/>
              </a:solidFill>
              <a:ln w="19050">
                <a:solidFill>
                  <a:schemeClr val="lt1"/>
                </a:solidFill>
              </a:ln>
              <a:effectLst/>
            </c:spPr>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57BA-40EB-BB26-77FBC5E37425}"/>
              </c:ext>
            </c:extLst>
          </c:dPt>
          <c:dPt>
            <c:idx val="3"/>
            <c:bubble3D val="0"/>
            <c:spPr>
              <a:solidFill>
                <a:schemeClr val="accent4"/>
              </a:solidFill>
              <a:ln w="19050">
                <a:solidFill>
                  <a:schemeClr val="lt1"/>
                </a:solidFill>
              </a:ln>
              <a:effectLst/>
            </c:spPr>
          </c:dPt>
          <c:cat>
            <c:multiLvlStrRef>
              <c:f>Dashboard!$M$5:$M$13</c:f>
              <c:multiLvlStrCache>
                <c:ptCount val="4"/>
                <c:lvl>
                  <c:pt idx="0">
                    <c:v>Expense</c:v>
                  </c:pt>
                  <c:pt idx="1">
                    <c:v>Income</c:v>
                  </c:pt>
                  <c:pt idx="2">
                    <c:v>Expense</c:v>
                  </c:pt>
                  <c:pt idx="3">
                    <c:v>Expense</c:v>
                  </c:pt>
                </c:lvl>
                <c:lvl>
                  <c:pt idx="0">
                    <c:v>Food</c:v>
                  </c:pt>
                  <c:pt idx="1">
                    <c:v>Income</c:v>
                  </c:pt>
                  <c:pt idx="2">
                    <c:v>Shopping</c:v>
                  </c:pt>
                  <c:pt idx="3">
                    <c:v>Bills</c:v>
                  </c:pt>
                </c:lvl>
              </c:multiLvlStrCache>
            </c:multiLvlStrRef>
          </c:cat>
          <c:val>
            <c:numRef>
              <c:f>Dashboard!$N$5:$N$13</c:f>
              <c:numCache>
                <c:formatCode>General</c:formatCode>
                <c:ptCount val="4"/>
                <c:pt idx="0">
                  <c:v>32</c:v>
                </c:pt>
                <c:pt idx="1">
                  <c:v>650</c:v>
                </c:pt>
                <c:pt idx="2">
                  <c:v>72</c:v>
                </c:pt>
                <c:pt idx="3">
                  <c:v>220</c:v>
                </c:pt>
              </c:numCache>
            </c:numRef>
          </c:val>
          <c:extLst>
            <c:ext xmlns:c16="http://schemas.microsoft.com/office/drawing/2014/chart" uri="{C3380CC4-5D6E-409C-BE32-E72D297353CC}">
              <c16:uniqueId val="{00000000-57BA-40EB-BB26-77FBC5E3742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[ayalla_Milestone4_Financial Planning Tool.xlsm]Dashboard!PivotTable23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Expenses&amp;</a:t>
            </a:r>
            <a:r>
              <a:rPr lang="en-US" baseline="0"/>
              <a:t>Incomes Data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Dashboard!$N$20</c:f>
              <c:strCache>
                <c:ptCount val="1"/>
                <c:pt idx="0">
                  <c:v>Total</c:v>
                </c:pt>
              </c:strCache>
            </c:strRef>
          </c:tx>
          <c:spPr>
            <a:solidFill>
              <a:schemeClr val="accent1"/>
            </a:solidFill>
            <a:ln>
              <a:noFill/>
            </a:ln>
            <a:effectLst/>
          </c:spPr>
          <c:invertIfNegative val="0"/>
          <c:cat>
            <c:multiLvlStrRef>
              <c:f>Dashboard!$M$21:$M$27</c:f>
              <c:multiLvlStrCache>
                <c:ptCount val="5"/>
                <c:lvl>
                  <c:pt idx="0">
                    <c:v>electric</c:v>
                  </c:pt>
                  <c:pt idx="1">
                    <c:v>gift card</c:v>
                  </c:pt>
                  <c:pt idx="2">
                    <c:v>paycheck</c:v>
                  </c:pt>
                </c:lvl>
                <c:lvl>
                  <c:pt idx="0">
                    <c:v>Essential</c:v>
                  </c:pt>
                  <c:pt idx="3">
                    <c:v>Non-Essential</c:v>
                  </c:pt>
                  <c:pt idx="4">
                    <c:v>(blank)</c:v>
                  </c:pt>
                </c:lvl>
              </c:multiLvlStrCache>
            </c:multiLvlStrRef>
          </c:cat>
          <c:val>
            <c:numRef>
              <c:f>Dashboard!$N$21:$N$27</c:f>
              <c:numCache>
                <c:formatCode>General</c:formatCode>
                <c:ptCount val="5"/>
                <c:pt idx="0">
                  <c:v>220</c:v>
                </c:pt>
                <c:pt idx="1">
                  <c:v>150</c:v>
                </c:pt>
                <c:pt idx="2">
                  <c:v>500</c:v>
                </c:pt>
                <c:pt idx="3">
                  <c:v>104</c:v>
                </c:pt>
              </c:numCache>
            </c:numRef>
          </c:val>
          <c:extLst>
            <c:ext xmlns:c16="http://schemas.microsoft.com/office/drawing/2014/chart" uri="{C3380CC4-5D6E-409C-BE32-E72D297353CC}">
              <c16:uniqueId val="{00000000-7055-40F3-967A-B4E00CD8254F}"/>
            </c:ext>
          </c:extLst>
        </c:ser>
        <c:dLbls>
          <c:showLegendKey val="0"/>
          <c:showVal val="0"/>
          <c:showCatName val="0"/>
          <c:showSerName val="0"/>
          <c:showPercent val="0"/>
          <c:showBubbleSize val="0"/>
        </c:dLbls>
        <c:gapWidth val="150"/>
        <c:overlap val="100"/>
        <c:axId val="267045648"/>
        <c:axId val="267047568"/>
      </c:barChart>
      <c:catAx>
        <c:axId val="26704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47568"/>
        <c:crosses val="autoZero"/>
        <c:auto val="1"/>
        <c:lblAlgn val="ctr"/>
        <c:lblOffset val="100"/>
        <c:noMultiLvlLbl val="0"/>
      </c:catAx>
      <c:valAx>
        <c:axId val="267047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45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2.svg"/></Relationships>
</file>

<file path=xl/drawings/_rels/drawing6.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131885</xdr:colOff>
          <xdr:row>1</xdr:row>
          <xdr:rowOff>0</xdr:rowOff>
        </xdr:from>
        <xdr:to>
          <xdr:col>3</xdr:col>
          <xdr:colOff>612529</xdr:colOff>
          <xdr:row>10</xdr:row>
          <xdr:rowOff>144584</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2000" b="1"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5</xdr:col>
      <xdr:colOff>410882</xdr:colOff>
      <xdr:row>8</xdr:row>
      <xdr:rowOff>174209</xdr:rowOff>
    </xdr:from>
    <xdr:to>
      <xdr:col>9</xdr:col>
      <xdr:colOff>705946</xdr:colOff>
      <xdr:row>29</xdr:row>
      <xdr:rowOff>37353</xdr:rowOff>
    </xdr:to>
    <xdr:graphicFrame macro="">
      <xdr:nvGraphicFramePr>
        <xdr:cNvPr id="13" name="Chart 12">
          <a:extLst>
            <a:ext uri="{FF2B5EF4-FFF2-40B4-BE49-F238E27FC236}">
              <a16:creationId xmlns:a16="http://schemas.microsoft.com/office/drawing/2014/main" id="{701B079D-DF3B-64DD-A170-C73DFA5546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95251</xdr:colOff>
      <xdr:row>12</xdr:row>
      <xdr:rowOff>79131</xdr:rowOff>
    </xdr:from>
    <xdr:to>
      <xdr:col>5</xdr:col>
      <xdr:colOff>190499</xdr:colOff>
      <xdr:row>28</xdr:row>
      <xdr:rowOff>117231</xdr:rowOff>
    </xdr:to>
    <xdr:graphicFrame macro="">
      <xdr:nvGraphicFramePr>
        <xdr:cNvPr id="14" name="Chart 13">
          <a:extLst>
            <a:ext uri="{FF2B5EF4-FFF2-40B4-BE49-F238E27FC236}">
              <a16:creationId xmlns:a16="http://schemas.microsoft.com/office/drawing/2014/main" id="{D12DE6CA-7BB9-44D7-5C61-4D9CAB4F8A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325071</xdr:colOff>
      <xdr:row>28</xdr:row>
      <xdr:rowOff>155086</xdr:rowOff>
    </xdr:from>
    <xdr:to>
      <xdr:col>3</xdr:col>
      <xdr:colOff>263525</xdr:colOff>
      <xdr:row>42</xdr:row>
      <xdr:rowOff>12211</xdr:rowOff>
    </xdr:to>
    <mc:AlternateContent xmlns:mc="http://schemas.openxmlformats.org/markup-compatibility/2006">
      <mc:Choice xmlns:a14="http://schemas.microsoft.com/office/drawing/2010/main" Requires="a14">
        <xdr:graphicFrame macro="">
          <xdr:nvGraphicFramePr>
            <xdr:cNvPr id="15" name="Category">
              <a:extLst>
                <a:ext uri="{FF2B5EF4-FFF2-40B4-BE49-F238E27FC236}">
                  <a16:creationId xmlns:a16="http://schemas.microsoft.com/office/drawing/2014/main" id="{E0B6FDB3-ADAB-026E-02BA-2C624A0257F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398159" y="5608615"/>
              <a:ext cx="1843454" cy="247183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305044</xdr:colOff>
      <xdr:row>28</xdr:row>
      <xdr:rowOff>144827</xdr:rowOff>
    </xdr:from>
    <xdr:to>
      <xdr:col>1</xdr:col>
      <xdr:colOff>57882</xdr:colOff>
      <xdr:row>42</xdr:row>
      <xdr:rowOff>1952</xdr:rowOff>
    </xdr:to>
    <mc:AlternateContent xmlns:mc="http://schemas.openxmlformats.org/markup-compatibility/2006">
      <mc:Choice xmlns:a14="http://schemas.microsoft.com/office/drawing/2010/main" Requires="a14">
        <xdr:graphicFrame macro="">
          <xdr:nvGraphicFramePr>
            <xdr:cNvPr id="16" name="Income/Expense">
              <a:extLst>
                <a:ext uri="{FF2B5EF4-FFF2-40B4-BE49-F238E27FC236}">
                  <a16:creationId xmlns:a16="http://schemas.microsoft.com/office/drawing/2014/main" id="{3AA6D246-30E8-712E-CAF7-5E83A67C0EAA}"/>
                </a:ext>
              </a:extLst>
            </xdr:cNvPr>
            <xdr:cNvGraphicFramePr/>
          </xdr:nvGraphicFramePr>
          <xdr:xfrm>
            <a:off x="0" y="0"/>
            <a:ext cx="0" cy="0"/>
          </xdr:xfrm>
          <a:graphic>
            <a:graphicData uri="http://schemas.microsoft.com/office/drawing/2010/slicer">
              <sle:slicer xmlns:sle="http://schemas.microsoft.com/office/drawing/2010/slicer" name="Income/Expense"/>
            </a:graphicData>
          </a:graphic>
        </xdr:graphicFrame>
      </mc:Choice>
      <mc:Fallback>
        <xdr:sp macro="" textlink="">
          <xdr:nvSpPr>
            <xdr:cNvPr id="0" name=""/>
            <xdr:cNvSpPr>
              <a:spLocks noTextEdit="1"/>
            </xdr:cNvSpPr>
          </xdr:nvSpPr>
          <xdr:spPr>
            <a:xfrm>
              <a:off x="305044" y="5598356"/>
              <a:ext cx="1825926" cy="247183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810141</xdr:colOff>
      <xdr:row>15</xdr:row>
      <xdr:rowOff>145892</xdr:rowOff>
    </xdr:from>
    <xdr:to>
      <xdr:col>10</xdr:col>
      <xdr:colOff>930532</xdr:colOff>
      <xdr:row>28</xdr:row>
      <xdr:rowOff>182533</xdr:rowOff>
    </xdr:to>
    <mc:AlternateContent xmlns:mc="http://schemas.openxmlformats.org/markup-compatibility/2006">
      <mc:Choice xmlns:a14="http://schemas.microsoft.com/office/drawing/2010/main" Requires="a14">
        <xdr:graphicFrame macro="">
          <xdr:nvGraphicFramePr>
            <xdr:cNvPr id="17" name="Essential/Non-Essential">
              <a:extLst>
                <a:ext uri="{FF2B5EF4-FFF2-40B4-BE49-F238E27FC236}">
                  <a16:creationId xmlns:a16="http://schemas.microsoft.com/office/drawing/2014/main" id="{A2E1C54F-F6B8-568F-E6CA-F0DB74B87C6F}"/>
                </a:ext>
              </a:extLst>
            </xdr:cNvPr>
            <xdr:cNvGraphicFramePr/>
          </xdr:nvGraphicFramePr>
          <xdr:xfrm>
            <a:off x="0" y="0"/>
            <a:ext cx="0" cy="0"/>
          </xdr:xfrm>
          <a:graphic>
            <a:graphicData uri="http://schemas.microsoft.com/office/drawing/2010/slicer">
              <sle:slicer xmlns:sle="http://schemas.microsoft.com/office/drawing/2010/slicer" name="Essential/Non-Essential"/>
            </a:graphicData>
          </a:graphic>
        </xdr:graphicFrame>
      </mc:Choice>
      <mc:Fallback>
        <xdr:sp macro="" textlink="">
          <xdr:nvSpPr>
            <xdr:cNvPr id="0" name=""/>
            <xdr:cNvSpPr>
              <a:spLocks noTextEdit="1"/>
            </xdr:cNvSpPr>
          </xdr:nvSpPr>
          <xdr:spPr>
            <a:xfrm>
              <a:off x="11922641" y="3171480"/>
              <a:ext cx="1838626" cy="246458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793564</xdr:colOff>
      <xdr:row>1</xdr:row>
      <xdr:rowOff>76673</xdr:rowOff>
    </xdr:from>
    <xdr:to>
      <xdr:col>10</xdr:col>
      <xdr:colOff>905912</xdr:colOff>
      <xdr:row>13</xdr:row>
      <xdr:rowOff>186304</xdr:rowOff>
    </xdr:to>
    <mc:AlternateContent xmlns:mc="http://schemas.openxmlformats.org/markup-compatibility/2006">
      <mc:Choice xmlns:a14="http://schemas.microsoft.com/office/drawing/2010/main" Requires="a14">
        <xdr:graphicFrame macro="">
          <xdr:nvGraphicFramePr>
            <xdr:cNvPr id="18" name="Term">
              <a:extLst>
                <a:ext uri="{FF2B5EF4-FFF2-40B4-BE49-F238E27FC236}">
                  <a16:creationId xmlns:a16="http://schemas.microsoft.com/office/drawing/2014/main" id="{CEBFB8C2-4DF5-F9E4-6293-15E85DC6629E}"/>
                </a:ext>
              </a:extLst>
            </xdr:cNvPr>
            <xdr:cNvGraphicFramePr/>
          </xdr:nvGraphicFramePr>
          <xdr:xfrm>
            <a:off x="0" y="0"/>
            <a:ext cx="0" cy="0"/>
          </xdr:xfrm>
          <a:graphic>
            <a:graphicData uri="http://schemas.microsoft.com/office/drawing/2010/slicer">
              <sle:slicer xmlns:sle="http://schemas.microsoft.com/office/drawing/2010/slicer" name="Term"/>
            </a:graphicData>
          </a:graphic>
        </xdr:graphicFrame>
      </mc:Choice>
      <mc:Fallback>
        <xdr:sp macro="" textlink="">
          <xdr:nvSpPr>
            <xdr:cNvPr id="0" name=""/>
            <xdr:cNvSpPr>
              <a:spLocks noTextEdit="1"/>
            </xdr:cNvSpPr>
          </xdr:nvSpPr>
          <xdr:spPr>
            <a:xfrm>
              <a:off x="11906064" y="375497"/>
              <a:ext cx="1830583" cy="246286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546100</xdr:colOff>
      <xdr:row>28</xdr:row>
      <xdr:rowOff>130175</xdr:rowOff>
    </xdr:from>
    <xdr:to>
      <xdr:col>5</xdr:col>
      <xdr:colOff>38100</xdr:colOff>
      <xdr:row>41</xdr:row>
      <xdr:rowOff>177800</xdr:rowOff>
    </xdr:to>
    <mc:AlternateContent xmlns:mc="http://schemas.openxmlformats.org/markup-compatibility/2006">
      <mc:Choice xmlns:a14="http://schemas.microsoft.com/office/drawing/2010/main" Requires="a14">
        <xdr:graphicFrame macro="">
          <xdr:nvGraphicFramePr>
            <xdr:cNvPr id="19" name="Term 1">
              <a:extLst>
                <a:ext uri="{FF2B5EF4-FFF2-40B4-BE49-F238E27FC236}">
                  <a16:creationId xmlns:a16="http://schemas.microsoft.com/office/drawing/2014/main" id="{7BE4B7DC-3191-635C-EE18-BF9F2DEAFFB9}"/>
                </a:ext>
              </a:extLst>
            </xdr:cNvPr>
            <xdr:cNvGraphicFramePr/>
          </xdr:nvGraphicFramePr>
          <xdr:xfrm>
            <a:off x="0" y="0"/>
            <a:ext cx="0" cy="0"/>
          </xdr:xfrm>
          <a:graphic>
            <a:graphicData uri="http://schemas.microsoft.com/office/drawing/2010/slicer">
              <sle:slicer xmlns:sle="http://schemas.microsoft.com/office/drawing/2010/slicer" name="Term 1"/>
            </a:graphicData>
          </a:graphic>
        </xdr:graphicFrame>
      </mc:Choice>
      <mc:Fallback>
        <xdr:sp macro="" textlink="">
          <xdr:nvSpPr>
            <xdr:cNvPr id="0" name=""/>
            <xdr:cNvSpPr>
              <a:spLocks noTextEdit="1"/>
            </xdr:cNvSpPr>
          </xdr:nvSpPr>
          <xdr:spPr>
            <a:xfrm>
              <a:off x="4524188" y="5583704"/>
              <a:ext cx="1826559" cy="247556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133349</xdr:colOff>
          <xdr:row>8</xdr:row>
          <xdr:rowOff>171449</xdr:rowOff>
        </xdr:from>
        <xdr:to>
          <xdr:col>14</xdr:col>
          <xdr:colOff>123824</xdr:colOff>
          <xdr:row>11</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Clear a specific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3</xdr:row>
          <xdr:rowOff>152399</xdr:rowOff>
        </xdr:from>
        <xdr:to>
          <xdr:col>14</xdr:col>
          <xdr:colOff>133350</xdr:colOff>
          <xdr:row>6</xdr:row>
          <xdr:rowOff>28574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Add Item</a:t>
              </a:r>
            </a:p>
          </xdr:txBody>
        </xdr:sp>
        <xdr:clientData fPrintsWithSheet="0"/>
      </xdr:twoCellAnchor>
    </mc:Choice>
    <mc:Fallback/>
  </mc:AlternateContent>
  <xdr:twoCellAnchor editAs="oneCell">
    <xdr:from>
      <xdr:col>12</xdr:col>
      <xdr:colOff>76200</xdr:colOff>
      <xdr:row>1</xdr:row>
      <xdr:rowOff>95250</xdr:rowOff>
    </xdr:from>
    <xdr:to>
      <xdr:col>12</xdr:col>
      <xdr:colOff>771525</xdr:colOff>
      <xdr:row>4</xdr:row>
      <xdr:rowOff>28575</xdr:rowOff>
    </xdr:to>
    <xdr:pic macro="[0]!AddItem_Click">
      <xdr:nvPicPr>
        <xdr:cNvPr id="2" name="Graphic 1" descr="Badge Follow with solid fill">
          <a:extLst>
            <a:ext uri="{FF2B5EF4-FFF2-40B4-BE49-F238E27FC236}">
              <a16:creationId xmlns:a16="http://schemas.microsoft.com/office/drawing/2014/main" id="{69B4E95E-B666-4C2A-BFC9-215E365CC4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039350" y="666750"/>
          <a:ext cx="695325" cy="695325"/>
        </a:xfrm>
        <a:prstGeom prst="rect">
          <a:avLst/>
        </a:prstGeom>
      </xdr:spPr>
    </xdr:pic>
    <xdr:clientData/>
  </xdr:twoCellAnchor>
  <xdr:twoCellAnchor editAs="oneCell">
    <xdr:from>
      <xdr:col>12</xdr:col>
      <xdr:colOff>9525</xdr:colOff>
      <xdr:row>5</xdr:row>
      <xdr:rowOff>104775</xdr:rowOff>
    </xdr:from>
    <xdr:to>
      <xdr:col>12</xdr:col>
      <xdr:colOff>828675</xdr:colOff>
      <xdr:row>9</xdr:row>
      <xdr:rowOff>161925</xdr:rowOff>
    </xdr:to>
    <xdr:pic macro="[0]!ClearRowBtn_Click">
      <xdr:nvPicPr>
        <xdr:cNvPr id="4" name="Graphic 3" descr="Eraser with solid fill">
          <a:extLst>
            <a:ext uri="{FF2B5EF4-FFF2-40B4-BE49-F238E27FC236}">
              <a16:creationId xmlns:a16="http://schemas.microsoft.com/office/drawing/2014/main" id="{95B8CCD4-FE16-4CD9-9DC2-E586D93287E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972675" y="1438275"/>
          <a:ext cx="819150" cy="819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333375</xdr:colOff>
          <xdr:row>6</xdr:row>
          <xdr:rowOff>66675</xdr:rowOff>
        </xdr:from>
        <xdr:to>
          <xdr:col>10</xdr:col>
          <xdr:colOff>295275</xdr:colOff>
          <xdr:row>8</xdr:row>
          <xdr:rowOff>152400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ECF2FC85-F95B-0780-C7C4-A45BA17568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Clear a specific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304800</xdr:colOff>
          <xdr:row>2</xdr:row>
          <xdr:rowOff>57150</xdr:rowOff>
        </xdr:from>
        <xdr:to>
          <xdr:col>10</xdr:col>
          <xdr:colOff>276225</xdr:colOff>
          <xdr:row>3</xdr:row>
          <xdr:rowOff>285750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CA" sz="1100" b="0" i="0" u="none" strike="noStrike" baseline="0">
                  <a:solidFill>
                    <a:srgbClr val="000000"/>
                  </a:solidFill>
                  <a:latin typeface="Calibri"/>
                  <a:ea typeface="Calibri"/>
                  <a:cs typeface="Calibri"/>
                </a:rPr>
                <a:t>Add Payment</a:t>
              </a:r>
            </a:p>
          </xdr:txBody>
        </xdr:sp>
        <xdr:clientData fPrintsWithSheet="0"/>
      </xdr:twoCellAnchor>
    </mc:Choice>
    <mc:Fallback/>
  </mc:AlternateContent>
  <xdr:twoCellAnchor editAs="oneCell">
    <xdr:from>
      <xdr:col>8</xdr:col>
      <xdr:colOff>190499</xdr:colOff>
      <xdr:row>0</xdr:row>
      <xdr:rowOff>85725</xdr:rowOff>
    </xdr:from>
    <xdr:to>
      <xdr:col>9</xdr:col>
      <xdr:colOff>276224</xdr:colOff>
      <xdr:row>3</xdr:row>
      <xdr:rowOff>19050</xdr:rowOff>
    </xdr:to>
    <xdr:pic macro="[0]!AddPayment_Click">
      <xdr:nvPicPr>
        <xdr:cNvPr id="3" name="Graphic 2" descr="Badge Follow with solid fill">
          <a:extLst>
            <a:ext uri="{FF2B5EF4-FFF2-40B4-BE49-F238E27FC236}">
              <a16:creationId xmlns:a16="http://schemas.microsoft.com/office/drawing/2014/main" id="{A338D429-14F3-607A-3C34-39C942F5F6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248649" y="85725"/>
          <a:ext cx="695325" cy="695325"/>
        </a:xfrm>
        <a:prstGeom prst="rect">
          <a:avLst/>
        </a:prstGeom>
      </xdr:spPr>
    </xdr:pic>
    <xdr:clientData/>
  </xdr:twoCellAnchor>
  <xdr:twoCellAnchor editAs="oneCell">
    <xdr:from>
      <xdr:col>8</xdr:col>
      <xdr:colOff>180975</xdr:colOff>
      <xdr:row>4</xdr:row>
      <xdr:rowOff>0</xdr:rowOff>
    </xdr:from>
    <xdr:to>
      <xdr:col>9</xdr:col>
      <xdr:colOff>390525</xdr:colOff>
      <xdr:row>8</xdr:row>
      <xdr:rowOff>57150</xdr:rowOff>
    </xdr:to>
    <xdr:pic macro="[0]!ClearTableContents">
      <xdr:nvPicPr>
        <xdr:cNvPr id="5" name="Graphic 4" descr="Eraser with solid fill">
          <a:extLst>
            <a:ext uri="{FF2B5EF4-FFF2-40B4-BE49-F238E27FC236}">
              <a16:creationId xmlns:a16="http://schemas.microsoft.com/office/drawing/2014/main" id="{50A71959-721D-2B65-7224-0C3C10C63A8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239125" y="1162050"/>
          <a:ext cx="819150" cy="81915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590550</xdr:colOff>
          <xdr:row>1</xdr:row>
          <xdr:rowOff>104775</xdr:rowOff>
        </xdr:from>
        <xdr:to>
          <xdr:col>13</xdr:col>
          <xdr:colOff>161925</xdr:colOff>
          <xdr:row>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ea typeface="Calibri"/>
                  <a:cs typeface="Calibri"/>
                </a:rPr>
                <a:t>Refresh Countdown and pending amount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266700</xdr:colOff>
          <xdr:row>4</xdr:row>
          <xdr:rowOff>76200</xdr:rowOff>
        </xdr:from>
        <xdr:to>
          <xdr:col>9</xdr:col>
          <xdr:colOff>228600</xdr:colOff>
          <xdr:row>6</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2E2140A4-3E07-7B97-C5A3-F94E9DE8AB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Clear a specific row</a:t>
              </a:r>
            </a:p>
          </xdr:txBody>
        </xdr:sp>
        <xdr:clientData fPrintsWithSheet="0"/>
      </xdr:twoCellAnchor>
    </mc:Choice>
    <mc:Fallback/>
  </mc:AlternateContent>
  <xdr:twoCellAnchor editAs="oneCell">
    <xdr:from>
      <xdr:col>7</xdr:col>
      <xdr:colOff>152400</xdr:colOff>
      <xdr:row>0</xdr:row>
      <xdr:rowOff>371475</xdr:rowOff>
    </xdr:from>
    <xdr:to>
      <xdr:col>8</xdr:col>
      <xdr:colOff>361950</xdr:colOff>
      <xdr:row>5</xdr:row>
      <xdr:rowOff>47625</xdr:rowOff>
    </xdr:to>
    <xdr:pic macro="[0]!ClearRowBtn_Click">
      <xdr:nvPicPr>
        <xdr:cNvPr id="2" name="Graphic 1" descr="Eraser with solid fill">
          <a:extLst>
            <a:ext uri="{FF2B5EF4-FFF2-40B4-BE49-F238E27FC236}">
              <a16:creationId xmlns:a16="http://schemas.microsoft.com/office/drawing/2014/main" id="{55E6B5B3-CB5D-412E-BE4F-C9C4E910D4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772150" y="371475"/>
          <a:ext cx="819150" cy="819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400050</xdr:colOff>
          <xdr:row>1</xdr:row>
          <xdr:rowOff>171450</xdr:rowOff>
        </xdr:from>
        <xdr:to>
          <xdr:col>11</xdr:col>
          <xdr:colOff>457200</xdr:colOff>
          <xdr:row>3</xdr:row>
          <xdr:rowOff>200025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CA" sz="1100" b="0" i="0" u="none" strike="noStrike" baseline="0">
                  <a:solidFill>
                    <a:srgbClr val="000000"/>
                  </a:solidFill>
                  <a:latin typeface="Calibri"/>
                  <a:ea typeface="Calibri"/>
                  <a:cs typeface="Calibri"/>
                </a:rPr>
                <a:t>Add Funds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457200</xdr:colOff>
          <xdr:row>6</xdr:row>
          <xdr:rowOff>171450</xdr:rowOff>
        </xdr:from>
        <xdr:to>
          <xdr:col>12</xdr:col>
          <xdr:colOff>209550</xdr:colOff>
          <xdr:row>8</xdr:row>
          <xdr:rowOff>180975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91C48C13-B130-1310-98E8-F4B7D69E8A4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Clear a specific row</a:t>
              </a:r>
            </a:p>
          </xdr:txBody>
        </xdr:sp>
        <xdr:clientData fPrintsWithSheet="0"/>
      </xdr:twoCellAnchor>
    </mc:Choice>
    <mc:Fallback/>
  </mc:AlternateContent>
  <xdr:twoCellAnchor editAs="oneCell">
    <xdr:from>
      <xdr:col>10</xdr:col>
      <xdr:colOff>238125</xdr:colOff>
      <xdr:row>3</xdr:row>
      <xdr:rowOff>276225</xdr:rowOff>
    </xdr:from>
    <xdr:to>
      <xdr:col>11</xdr:col>
      <xdr:colOff>447675</xdr:colOff>
      <xdr:row>7</xdr:row>
      <xdr:rowOff>142875</xdr:rowOff>
    </xdr:to>
    <xdr:pic macro="[0]!ClearRowBtn_Click">
      <xdr:nvPicPr>
        <xdr:cNvPr id="2" name="Graphic 1" descr="Eraser with solid fill">
          <a:extLst>
            <a:ext uri="{FF2B5EF4-FFF2-40B4-BE49-F238E27FC236}">
              <a16:creationId xmlns:a16="http://schemas.microsoft.com/office/drawing/2014/main" id="{A9C3E2C9-256B-42C9-B3B0-F2602E833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705975" y="1228725"/>
          <a:ext cx="819150" cy="819150"/>
        </a:xfrm>
        <a:prstGeom prst="rect">
          <a:avLst/>
        </a:prstGeom>
      </xdr:spPr>
    </xdr:pic>
    <xdr:clientData/>
  </xdr:twoCellAnchor>
  <xdr:twoCellAnchor editAs="oneCell">
    <xdr:from>
      <xdr:col>10</xdr:col>
      <xdr:colOff>114300</xdr:colOff>
      <xdr:row>0</xdr:row>
      <xdr:rowOff>28575</xdr:rowOff>
    </xdr:from>
    <xdr:to>
      <xdr:col>11</xdr:col>
      <xdr:colOff>200025</xdr:colOff>
      <xdr:row>2</xdr:row>
      <xdr:rowOff>152400</xdr:rowOff>
    </xdr:to>
    <xdr:pic macro="[0]!Funds_Click">
      <xdr:nvPicPr>
        <xdr:cNvPr id="3" name="Graphic 2" descr="Badge Follow with solid fill">
          <a:extLst>
            <a:ext uri="{FF2B5EF4-FFF2-40B4-BE49-F238E27FC236}">
              <a16:creationId xmlns:a16="http://schemas.microsoft.com/office/drawing/2014/main" id="{9005FC5A-4DF5-45D7-95AC-46B5BB87EA9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582150" y="28575"/>
          <a:ext cx="695325" cy="69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133350</xdr:colOff>
          <xdr:row>5</xdr:row>
          <xdr:rowOff>104775</xdr:rowOff>
        </xdr:from>
        <xdr:to>
          <xdr:col>3</xdr:col>
          <xdr:colOff>428625</xdr:colOff>
          <xdr:row>8</xdr:row>
          <xdr:rowOff>28575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230C646D-E384-3131-21D6-924C9AA2C2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Provide Tuition and Payements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1562100</xdr:colOff>
          <xdr:row>5</xdr:row>
          <xdr:rowOff>57150</xdr:rowOff>
        </xdr:from>
        <xdr:to>
          <xdr:col>1</xdr:col>
          <xdr:colOff>2962275</xdr:colOff>
          <xdr:row>8</xdr:row>
          <xdr:rowOff>9525</xdr:rowOff>
        </xdr:to>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500-0000083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CA" sz="1100" b="0" i="0" u="none" strike="noStrike" baseline="0">
                  <a:solidFill>
                    <a:srgbClr val="000000"/>
                  </a:solidFill>
                  <a:latin typeface="Calibri"/>
                  <a:ea typeface="Calibri"/>
                  <a:cs typeface="Calibri"/>
                </a:rPr>
                <a:t>Provide Overall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5</xdr:row>
          <xdr:rowOff>123825</xdr:rowOff>
        </xdr:from>
        <xdr:to>
          <xdr:col>5</xdr:col>
          <xdr:colOff>200025</xdr:colOff>
          <xdr:row>8</xdr:row>
          <xdr:rowOff>47625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B83BF870-A92F-57D1-E870-D85D0FF9D01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Provide Funding Advice</a:t>
              </a:r>
            </a:p>
          </xdr:txBody>
        </xdr:sp>
        <xdr:clientData fPrintsWithSheet="0"/>
      </xdr:twoCellAnchor>
    </mc:Choice>
    <mc:Fallback/>
  </mc:AlternateContent>
  <xdr:twoCellAnchor editAs="oneCell">
    <xdr:from>
      <xdr:col>1</xdr:col>
      <xdr:colOff>171450</xdr:colOff>
      <xdr:row>3</xdr:row>
      <xdr:rowOff>171450</xdr:rowOff>
    </xdr:from>
    <xdr:to>
      <xdr:col>1</xdr:col>
      <xdr:colOff>1085850</xdr:colOff>
      <xdr:row>8</xdr:row>
      <xdr:rowOff>133350</xdr:rowOff>
    </xdr:to>
    <xdr:pic>
      <xdr:nvPicPr>
        <xdr:cNvPr id="4" name="Graphic 3" descr="Piggy Bank with solid fill">
          <a:extLst>
            <a:ext uri="{FF2B5EF4-FFF2-40B4-BE49-F238E27FC236}">
              <a16:creationId xmlns:a16="http://schemas.microsoft.com/office/drawing/2014/main" id="{395AB185-BB6E-8F80-DDF3-E2D1B81CFD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1050" y="742950"/>
          <a:ext cx="914400" cy="914400"/>
        </a:xfrm>
        <a:prstGeom prst="rect">
          <a:avLst/>
        </a:prstGeom>
      </xdr:spPr>
    </xdr:pic>
    <xdr:clientData/>
  </xdr:twoCellAnchor>
  <xdr:oneCellAnchor>
    <xdr:from>
      <xdr:col>1</xdr:col>
      <xdr:colOff>671767</xdr:colOff>
      <xdr:row>0</xdr:row>
      <xdr:rowOff>0</xdr:rowOff>
    </xdr:from>
    <xdr:ext cx="7762381" cy="937629"/>
    <xdr:sp macro="" textlink="">
      <xdr:nvSpPr>
        <xdr:cNvPr id="5" name="Rectangle 4">
          <a:extLst>
            <a:ext uri="{FF2B5EF4-FFF2-40B4-BE49-F238E27FC236}">
              <a16:creationId xmlns:a16="http://schemas.microsoft.com/office/drawing/2014/main" id="{064F9BEE-C7CB-E589-DC48-6163D2E41AF4}"/>
            </a:ext>
          </a:extLst>
        </xdr:cNvPr>
        <xdr:cNvSpPr/>
      </xdr:nvSpPr>
      <xdr:spPr>
        <a:xfrm>
          <a:off x="1281367" y="0"/>
          <a:ext cx="7762381" cy="937629"/>
        </a:xfrm>
        <a:prstGeom prst="rect">
          <a:avLst/>
        </a:prstGeom>
        <a:noFill/>
      </xdr:spPr>
      <xdr:txBody>
        <a:bodyPr wrap="none" lIns="91440" tIns="45720" rIns="91440" bIns="45720">
          <a:spAutoFit/>
        </a:bodyPr>
        <a:lstStyle/>
        <a:p>
          <a:pPr algn="ctr"/>
          <a:r>
            <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Get</a:t>
          </a:r>
          <a:r>
            <a:rPr lang="en-US" sz="54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Financial Advice Here!</a:t>
          </a:r>
          <a:endPar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xdr:txBody>
    </xdr:sp>
    <xdr:clientData/>
  </xdr:oneCellAnchor>
  <xdr:twoCellAnchor editAs="oneCell">
    <xdr:from>
      <xdr:col>5</xdr:col>
      <xdr:colOff>771525</xdr:colOff>
      <xdr:row>4</xdr:row>
      <xdr:rowOff>28575</xdr:rowOff>
    </xdr:from>
    <xdr:to>
      <xdr:col>6</xdr:col>
      <xdr:colOff>180975</xdr:colOff>
      <xdr:row>8</xdr:row>
      <xdr:rowOff>180975</xdr:rowOff>
    </xdr:to>
    <xdr:pic>
      <xdr:nvPicPr>
        <xdr:cNvPr id="6" name="Graphic 5" descr="Piggy Bank with solid fill">
          <a:extLst>
            <a:ext uri="{FF2B5EF4-FFF2-40B4-BE49-F238E27FC236}">
              <a16:creationId xmlns:a16="http://schemas.microsoft.com/office/drawing/2014/main" id="{69ED9994-C43C-4574-899E-ED2045F5A9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439025" y="790575"/>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 Yalla" refreshedDate="45625.902951620374" createdVersion="8" refreshedVersion="8" minRefreshableVersion="3" recordCount="7" xr:uid="{78C945BA-9875-4890-ABE7-C69B99665D8E}">
  <cacheSource type="worksheet">
    <worksheetSource name="Table2"/>
  </cacheSource>
  <cacheFields count="8">
    <cacheField name="Date" numFmtId="164">
      <sharedItems containsNonDate="0" containsDate="1" containsBlank="1" containsMixedTypes="1" minDate="2009-12-02T00:00:00" maxDate="2025-10-03T00:00:00"/>
    </cacheField>
    <cacheField name="Item" numFmtId="0">
      <sharedItems containsBlank="1" count="6">
        <s v="Cake"/>
        <s v="Waterloo Merch"/>
        <s v="gift card"/>
        <s v="paycheck"/>
        <s v="electric"/>
        <m/>
      </sharedItems>
    </cacheField>
    <cacheField name="Category" numFmtId="0">
      <sharedItems containsBlank="1" count="5">
        <s v="Food"/>
        <s v="Shopping"/>
        <s v="Income"/>
        <s v="Bills"/>
        <m/>
      </sharedItems>
    </cacheField>
    <cacheField name="Description" numFmtId="0">
      <sharedItems containsBlank="1"/>
    </cacheField>
    <cacheField name="Amount" numFmtId="165">
      <sharedItems containsString="0" containsBlank="1" containsNumber="1" containsInteger="1" minValue="32" maxValue="500"/>
    </cacheField>
    <cacheField name="Essential/Non-Essential" numFmtId="0">
      <sharedItems containsBlank="1" count="3">
        <s v="Non-Essential"/>
        <s v="Essential"/>
        <m/>
      </sharedItems>
    </cacheField>
    <cacheField name="Term" numFmtId="0">
      <sharedItems containsBlank="1" count="3">
        <s v="Term 1A"/>
        <s v="Term 1B"/>
        <m/>
      </sharedItems>
    </cacheField>
    <cacheField name="Income/Expense" numFmtId="0">
      <sharedItems containsBlank="1" count="3">
        <s v="Expense"/>
        <s v="Income"/>
        <m/>
      </sharedItems>
    </cacheField>
  </cacheFields>
  <extLst>
    <ext xmlns:x14="http://schemas.microsoft.com/office/spreadsheetml/2009/9/main" uri="{725AE2AE-9491-48be-B2B4-4EB974FC3084}">
      <x14:pivotCacheDefinition pivotCacheId="5266367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 Yalla" refreshedDate="45625.902952314813" createdVersion="8" refreshedVersion="8" minRefreshableVersion="3" recordCount="7" xr:uid="{2B14F3A7-8788-4C12-A70C-5FAF89F57796}">
  <cacheSource type="worksheet">
    <worksheetSource name="Table2"/>
  </cacheSource>
  <cacheFields count="8">
    <cacheField name="Date" numFmtId="164">
      <sharedItems containsNonDate="0" containsDate="1" containsBlank="1" containsMixedTypes="1" minDate="2009-12-02T00:00:00" maxDate="2025-10-03T00:00:00"/>
    </cacheField>
    <cacheField name="Item" numFmtId="0">
      <sharedItems containsBlank="1"/>
    </cacheField>
    <cacheField name="Category" numFmtId="0">
      <sharedItems containsBlank="1" count="7">
        <s v="Food"/>
        <s v="Shopping"/>
        <s v="Income"/>
        <s v="Bills"/>
        <m/>
        <s v="Other" u="1"/>
        <s v="Entertainment" u="1"/>
      </sharedItems>
    </cacheField>
    <cacheField name="Description" numFmtId="0">
      <sharedItems containsBlank="1"/>
    </cacheField>
    <cacheField name="Amount" numFmtId="165">
      <sharedItems containsString="0" containsBlank="1" containsNumber="1" containsInteger="1" minValue="32" maxValue="500"/>
    </cacheField>
    <cacheField name="Essential/Non-Essential" numFmtId="0">
      <sharedItems containsBlank="1" count="3">
        <s v="Non-Essential"/>
        <s v="Essential"/>
        <m/>
      </sharedItems>
    </cacheField>
    <cacheField name="Term" numFmtId="0">
      <sharedItems containsBlank="1" count="3">
        <s v="Term 1A"/>
        <s v="Term 1B"/>
        <m/>
      </sharedItems>
    </cacheField>
    <cacheField name="Income/Expense" numFmtId="0">
      <sharedItems containsBlank="1" count="3">
        <s v="Expense"/>
        <s v="Income"/>
        <m/>
      </sharedItems>
    </cacheField>
  </cacheFields>
  <extLst>
    <ext xmlns:x14="http://schemas.microsoft.com/office/spreadsheetml/2009/9/main" uri="{725AE2AE-9491-48be-B2B4-4EB974FC3084}">
      <x14:pivotCacheDefinition pivotCacheId="570364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2024-20-1"/>
    <x v="0"/>
    <x v="0"/>
    <s v="yum yum"/>
    <n v="32"/>
    <x v="0"/>
    <x v="0"/>
    <x v="0"/>
  </r>
  <r>
    <d v="2024-11-29T00:00:00"/>
    <x v="1"/>
    <x v="1"/>
    <s v="black friday sale"/>
    <n v="72"/>
    <x v="0"/>
    <x v="0"/>
    <x v="0"/>
  </r>
  <r>
    <d v="2024-09-02T00:00:00"/>
    <x v="2"/>
    <x v="2"/>
    <s v="present"/>
    <n v="150"/>
    <x v="1"/>
    <x v="0"/>
    <x v="1"/>
  </r>
  <r>
    <d v="2025-10-02T00:00:00"/>
    <x v="3"/>
    <x v="2"/>
    <s v="yayyy"/>
    <n v="500"/>
    <x v="1"/>
    <x v="1"/>
    <x v="1"/>
  </r>
  <r>
    <d v="2009-12-02T00:00:00"/>
    <x v="4"/>
    <x v="3"/>
    <s v="-"/>
    <n v="220"/>
    <x v="1"/>
    <x v="0"/>
    <x v="0"/>
  </r>
  <r>
    <m/>
    <x v="5"/>
    <x v="4"/>
    <m/>
    <m/>
    <x v="2"/>
    <x v="2"/>
    <x v="2"/>
  </r>
  <r>
    <m/>
    <x v="5"/>
    <x v="4"/>
    <m/>
    <m/>
    <x v="2"/>
    <x v="2"/>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2024-20-1"/>
    <s v="Cake"/>
    <x v="0"/>
    <s v="yum yum"/>
    <n v="32"/>
    <x v="0"/>
    <x v="0"/>
    <x v="0"/>
  </r>
  <r>
    <d v="2024-11-29T00:00:00"/>
    <s v="Waterloo Merch"/>
    <x v="1"/>
    <s v="black friday sale"/>
    <n v="72"/>
    <x v="0"/>
    <x v="0"/>
    <x v="0"/>
  </r>
  <r>
    <d v="2024-09-02T00:00:00"/>
    <s v="gift card"/>
    <x v="2"/>
    <s v="present"/>
    <n v="150"/>
    <x v="1"/>
    <x v="0"/>
    <x v="1"/>
  </r>
  <r>
    <d v="2025-10-02T00:00:00"/>
    <s v="paycheck"/>
    <x v="2"/>
    <s v="yayyy"/>
    <n v="500"/>
    <x v="1"/>
    <x v="1"/>
    <x v="1"/>
  </r>
  <r>
    <d v="2009-12-02T00:00:00"/>
    <s v="electric"/>
    <x v="3"/>
    <s v="-"/>
    <n v="220"/>
    <x v="1"/>
    <x v="0"/>
    <x v="0"/>
  </r>
  <r>
    <m/>
    <m/>
    <x v="4"/>
    <m/>
    <m/>
    <x v="2"/>
    <x v="2"/>
    <x v="2"/>
  </r>
  <r>
    <m/>
    <m/>
    <x v="4"/>
    <m/>
    <m/>
    <x v="2"/>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D598BE-2A0C-43D7-A708-CF99C18C3613}" name="PivotTable23" cacheId="8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M20:N27" firstHeaderRow="1" firstDataRow="1" firstDataCol="1" rowPageCount="2" colPageCount="1"/>
  <pivotFields count="8">
    <pivotField showAll="0"/>
    <pivotField axis="axisRow" showAll="0">
      <items count="7">
        <item x="0"/>
        <item x="4"/>
        <item x="2"/>
        <item x="3"/>
        <item x="1"/>
        <item x="5"/>
        <item t="default"/>
      </items>
    </pivotField>
    <pivotField axis="axisPage" showAll="0">
      <items count="6">
        <item x="3"/>
        <item x="0"/>
        <item x="2"/>
        <item x="1"/>
        <item x="4"/>
        <item t="default"/>
      </items>
    </pivotField>
    <pivotField showAll="0"/>
    <pivotField dataField="1" showAll="0"/>
    <pivotField axis="axisRow" showAll="0">
      <items count="4">
        <item x="1"/>
        <item sd="0" x="0"/>
        <item sd="0" x="2"/>
        <item t="default"/>
      </items>
    </pivotField>
    <pivotField showAll="0">
      <items count="4">
        <item x="0"/>
        <item x="1"/>
        <item x="2"/>
        <item t="default"/>
      </items>
    </pivotField>
    <pivotField axis="axisPage" showAll="0">
      <items count="4">
        <item x="0"/>
        <item x="1"/>
        <item x="2"/>
        <item t="default"/>
      </items>
    </pivotField>
  </pivotFields>
  <rowFields count="2">
    <field x="5"/>
    <field x="1"/>
  </rowFields>
  <rowItems count="7">
    <i>
      <x/>
    </i>
    <i r="1">
      <x v="1"/>
    </i>
    <i r="1">
      <x v="2"/>
    </i>
    <i r="1">
      <x v="3"/>
    </i>
    <i>
      <x v="1"/>
    </i>
    <i>
      <x v="2"/>
    </i>
    <i t="grand">
      <x/>
    </i>
  </rowItems>
  <colItems count="1">
    <i/>
  </colItems>
  <pageFields count="2">
    <pageField fld="7" hier="-1"/>
    <pageField fld="2" hier="-1"/>
  </pageFields>
  <dataFields count="1">
    <dataField name="Sum of Amount" fld="4" baseField="0" baseItem="0"/>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5" count="1" selected="0">
            <x v="1"/>
          </reference>
        </references>
      </pivotArea>
    </chartFormat>
    <chartFormat chart="0" format="6" series="1">
      <pivotArea type="data" outline="0" fieldPosition="0">
        <references count="2">
          <reference field="4294967294" count="1" selected="0">
            <x v="0"/>
          </reference>
          <reference field="5" count="1" selected="0">
            <x v="2"/>
          </reference>
        </references>
      </pivotArea>
    </chartFormat>
    <chartFormat chart="0" format="7" series="1">
      <pivotArea type="data" outline="0" fieldPosition="0">
        <references count="2">
          <reference field="4294967294" count="1" selected="0">
            <x v="0"/>
          </reference>
          <reference field="7" count="1" selected="0">
            <x v="1"/>
          </reference>
        </references>
      </pivotArea>
    </chartFormat>
    <chartFormat chart="0" format="8" series="1">
      <pivotArea type="data" outline="0" fieldPosition="0">
        <references count="2">
          <reference field="4294967294" count="1" selected="0">
            <x v="0"/>
          </reference>
          <reference field="7"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3CA930-C87E-4891-B17E-06891A75F31E}" name="PivotTable16" cacheId="8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M4:N13" firstHeaderRow="1" firstDataRow="1" firstDataCol="1" rowPageCount="2" colPageCount="1"/>
  <pivotFields count="8">
    <pivotField showAll="0"/>
    <pivotField showAll="0"/>
    <pivotField axis="axisRow" showAll="0">
      <items count="8">
        <item m="1" x="6"/>
        <item x="0"/>
        <item x="2"/>
        <item m="1" x="5"/>
        <item x="1"/>
        <item x="4"/>
        <item x="3"/>
        <item t="default"/>
      </items>
    </pivotField>
    <pivotField showAll="0"/>
    <pivotField dataField="1" showAll="0"/>
    <pivotField axis="axisPage" showAll="0">
      <items count="4">
        <item x="1"/>
        <item x="0"/>
        <item x="2"/>
        <item t="default"/>
      </items>
    </pivotField>
    <pivotField axis="axisPage" multipleItemSelectionAllowed="1" showAll="0">
      <items count="4">
        <item x="0"/>
        <item h="1" x="2"/>
        <item x="1"/>
        <item t="default"/>
      </items>
    </pivotField>
    <pivotField axis="axisRow" showAll="0">
      <items count="4">
        <item x="0"/>
        <item x="1"/>
        <item x="2"/>
        <item t="default"/>
      </items>
    </pivotField>
  </pivotFields>
  <rowFields count="2">
    <field x="2"/>
    <field x="7"/>
  </rowFields>
  <rowItems count="9">
    <i>
      <x v="1"/>
    </i>
    <i r="1">
      <x/>
    </i>
    <i>
      <x v="2"/>
    </i>
    <i r="1">
      <x v="1"/>
    </i>
    <i>
      <x v="4"/>
    </i>
    <i r="1">
      <x/>
    </i>
    <i>
      <x v="6"/>
    </i>
    <i r="1">
      <x/>
    </i>
    <i t="grand">
      <x/>
    </i>
  </rowItems>
  <colItems count="1">
    <i/>
  </colItems>
  <pageFields count="2">
    <pageField fld="5" hier="-1"/>
    <pageField fld="6" hier="-1"/>
  </pageFields>
  <dataFields count="1">
    <dataField name="Sum of Amount" fld="4" baseField="0" baseItem="0"/>
  </dataFields>
  <chartFormats count="2">
    <chartFormat chart="0" format="3" series="1">
      <pivotArea type="data" outline="0" fieldPosition="0">
        <references count="1">
          <reference field="4294967294" count="1" selected="0">
            <x v="0"/>
          </reference>
        </references>
      </pivotArea>
    </chartFormat>
    <chartFormat chart="0" format="4">
      <pivotArea type="data" outline="0" fieldPosition="0">
        <references count="3">
          <reference field="4294967294" count="1" selected="0">
            <x v="0"/>
          </reference>
          <reference field="2" count="1" selected="0">
            <x v="2"/>
          </reference>
          <reference field="7"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54F90CB-6B43-41FB-9220-22ED9B774C32}" sourceName="Category">
  <pivotTables>
    <pivotTable tabId="8" name="PivotTable23"/>
  </pivotTables>
  <data>
    <tabular pivotCacheId="526636793">
      <items count="5">
        <i x="3" s="1"/>
        <i x="0" s="1"/>
        <i x="2" s="1"/>
        <i x="1"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Expense" xr10:uid="{3DC418E0-236C-4092-9A51-F598802DEE7C}" sourceName="Income/Expense">
  <pivotTables>
    <pivotTable tabId="8" name="PivotTable23"/>
  </pivotTables>
  <data>
    <tabular pivotCacheId="526636793">
      <items count="3">
        <i x="0" s="1"/>
        <i x="1" s="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sential_Non_Essential" xr10:uid="{DC057CA0-B909-4E42-9A20-231E98891BA7}" sourceName="Essential/Non-Essential">
  <pivotTables>
    <pivotTable tabId="8" name="PivotTable16"/>
  </pivotTables>
  <data>
    <tabular pivotCacheId="57036445">
      <items count="3">
        <i x="1" s="1"/>
        <i x="0" s="1"/>
        <i x="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rm" xr10:uid="{28FDEE35-DC34-45B9-9C43-2BD402FBECA0}" sourceName="Term">
  <pivotTables>
    <pivotTable tabId="8" name="PivotTable16"/>
  </pivotTables>
  <data>
    <tabular pivotCacheId="57036445">
      <items count="3">
        <i x="0" s="1"/>
        <i x="1" s="1"/>
        <i x="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rm1" xr10:uid="{3F4F6E64-C72A-4B33-BECF-C9487B29D92A}" sourceName="Term">
  <pivotTables>
    <pivotTable tabId="8" name="PivotTable23"/>
  </pivotTables>
  <data>
    <tabular pivotCacheId="526636793">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2730156-25DB-4116-9FD8-C3C2A7D9895E}" cache="Slicer_Category" caption="Category" style="SlicerStyleLight4" rowHeight="241300"/>
  <slicer name="Income/Expense" xr10:uid="{567A6209-96C2-480B-A1A1-92DCF11395F2}" cache="Slicer_Income_Expense" caption="Income/Expense" style="SlicerStyleLight4" rowHeight="241300"/>
  <slicer name="Essential/Non-Essential" xr10:uid="{5288BE6E-4A55-44FD-9C37-CF1289E0AEBE}" cache="Slicer_Essential_Non_Essential" caption="Essential/Non-Essential" style="SlicerStyleLight4" rowHeight="241300"/>
  <slicer name="Term" xr10:uid="{A679F113-5649-452B-BAF0-B44C5739FA44}" cache="Slicer_Term" caption="Term" style="SlicerStyleLight4" rowHeight="241300"/>
  <slicer name="Term 1" xr10:uid="{A5675C7E-1441-4535-8F4D-B952156DE6CE}" cache="Slicer_Term1" caption="Term"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E9A291-9BD2-4746-B23F-09CE3C928F5F}" name="Table2" displayName="Table2" ref="A1:H8" totalsRowShown="0" headerRowDxfId="24" dataDxfId="23">
  <autoFilter ref="A1:H8" xr:uid="{C6E9A291-9BD2-4746-B23F-09CE3C928F5F}"/>
  <tableColumns count="8">
    <tableColumn id="1" xr3:uid="{6E2A4A88-15A5-42A3-8B38-8E47C9B65367}" name="Date" dataDxfId="22"/>
    <tableColumn id="2" xr3:uid="{1BA20E10-4565-4857-892A-94DBB6D0A41A}" name="Item" dataDxfId="21"/>
    <tableColumn id="3" xr3:uid="{3453ADE3-6D9E-451E-B998-107315199206}" name="Category" dataDxfId="20"/>
    <tableColumn id="4" xr3:uid="{7B27F478-06FA-4163-A087-73C5660977C3}" name="Description" dataDxfId="19"/>
    <tableColumn id="5" xr3:uid="{31C21776-332D-4ACF-AC74-D7C3EACDF99C}" name="Amount" dataDxfId="18"/>
    <tableColumn id="6" xr3:uid="{3FCA0FD7-92AD-4DC0-B486-B181226C50C9}" name="Essential/Non-Essential" dataDxfId="17"/>
    <tableColumn id="7" xr3:uid="{E062EC47-298B-420E-8F09-065A27845A72}" name="Term" dataDxfId="16"/>
    <tableColumn id="8" xr3:uid="{848BB9BF-1B11-4375-AC0E-1872DD611B9E}" name="Income/Expense" dataDxfId="0"/>
  </tableColumns>
  <tableStyleInfo name="EngPurp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66B9501-9F8A-43B2-B1B8-CD337FD3E2FD}" name="Table3" displayName="Table3" ref="A1:G4" totalsRowShown="0" headerRowDxfId="33" dataDxfId="32">
  <autoFilter ref="A1:G4" xr:uid="{B66B9501-9F8A-43B2-B1B8-CD337FD3E2FD}"/>
  <tableColumns count="7">
    <tableColumn id="7" xr3:uid="{CEB1F9C0-BE9F-44F6-B6A1-6BB1B6052218}" name="Name" dataDxfId="31"/>
    <tableColumn id="1" xr3:uid="{C120A4C7-3C92-44F7-A332-325427B6B25F}" name="Payment Deadline" dataDxfId="30"/>
    <tableColumn id="2" xr3:uid="{E7411B90-4B28-4FFB-ADB3-2327C3292616}" name="Amount" dataDxfId="29"/>
    <tableColumn id="3" xr3:uid="{0B66F817-7BF6-4E6E-9064-D84025BE5E51}" name="Saved Amount" dataDxfId="28" dataCellStyle="Currency"/>
    <tableColumn id="4" xr3:uid="{CF07BEBB-0EDA-4D73-8E1D-2BBE4BC07A55}" name="Remaining Amount" dataDxfId="27" dataCellStyle="Currency"/>
    <tableColumn id="5" xr3:uid="{4329B9F2-6D92-4897-9B46-77AEBA1B3A02}" name="Days Remaining" dataDxfId="26"/>
    <tableColumn id="6" xr3:uid="{E8D193A2-C1BD-451C-991D-E9FC32997CE5}" name="Status" dataDxfId="25"/>
  </tableColumns>
  <tableStyleInfo name="EngPurp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5F39FA9-D561-4BE0-8D2F-C05F27DF83D9}" name="Table4" displayName="Table4" ref="A1:E6" totalsRowShown="0" headerRowDxfId="15" dataDxfId="14">
  <autoFilter ref="A1:E6" xr:uid="{95F39FA9-D561-4BE0-8D2F-C05F27DF83D9}"/>
  <tableColumns count="5">
    <tableColumn id="1" xr3:uid="{17257B52-1C25-49E7-BABB-2F3B4E310E2E}" name="Category" dataDxfId="13"/>
    <tableColumn id="2" xr3:uid="{5EC3CA2D-FBD2-4AC0-812E-5FF627033F09}" name="Goal" dataDxfId="12"/>
    <tableColumn id="3" xr3:uid="{6213544E-5D39-45B6-90ED-032C68754792}" name="Actual" dataDxfId="11"/>
    <tableColumn id="4" xr3:uid="{30C0E19F-E267-4719-AF85-0D0F71E277BB}" name="Difference" dataDxfId="10">
      <calculatedColumnFormula>B2 - C2</calculatedColumnFormula>
    </tableColumn>
    <tableColumn id="5" xr3:uid="{D8425365-886B-4DE1-B001-6D7C66B6D2D3}" name="Status" dataDxfId="9">
      <calculatedColumnFormula>IF(D2 &lt; 0, "Over Budget", IF(D2 &gt; 0, "On Track", "On Budget"))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94F29D-11CE-4436-9CA7-B9655FFCA03A}" name="Table5" displayName="Table5" ref="A1:F4" totalsRowShown="0" headerRowDxfId="8" dataDxfId="7">
  <autoFilter ref="A1:F4" xr:uid="{E594F29D-11CE-4436-9CA7-B9655FFCA03A}"/>
  <tableColumns count="6">
    <tableColumn id="1" xr3:uid="{47E48CDA-58B5-4777-A309-53026ECC20F0}" name="Category" dataDxfId="6"/>
    <tableColumn id="6" xr3:uid="{B5F55274-236B-42F7-98AD-2B9AB557257A}" name="Term" dataDxfId="5"/>
    <tableColumn id="2" xr3:uid="{9ECB235A-CC19-418C-B851-39DB06335546}" name="Amount" dataDxfId="4"/>
    <tableColumn id="3" xr3:uid="{ED09DDAE-6C1D-4DCD-901E-9FE6C03F44BF}" name="Interest Rate" dataDxfId="3" dataCellStyle="Percent"/>
    <tableColumn id="4" xr3:uid="{366BA3F2-7BBD-468B-B02E-B2F3BD9AF939}" name="Duration (Months)" dataDxfId="2"/>
    <tableColumn id="5" xr3:uid="{65E525F2-77F9-4FFD-9039-2D6DB984D7C5}" name="Monthly Payment" dataDxfId="1"/>
  </tableColumns>
  <tableStyleInfo name="EngPurple"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table" Target="../tables/table4.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AA00C-FB16-4435-B08F-69A98A4A7AD3}">
  <sheetPr codeName="Sheet6"/>
  <dimension ref="A1:N55"/>
  <sheetViews>
    <sheetView tabSelected="1" zoomScale="51" workbookViewId="0">
      <selection activeCell="G36" sqref="G36"/>
    </sheetView>
  </sheetViews>
  <sheetFormatPr defaultRowHeight="15" x14ac:dyDescent="0.25"/>
  <cols>
    <col min="1" max="1" width="31.140625" customWidth="1"/>
    <col min="2" max="2" width="20.42578125" style="30" bestFit="1" customWidth="1"/>
    <col min="3" max="3" width="8" style="16" bestFit="1" customWidth="1"/>
    <col min="4" max="4" width="10.7109375" bestFit="1" customWidth="1"/>
    <col min="5" max="5" width="24.28515625" style="16" customWidth="1"/>
    <col min="6" max="6" width="10.28515625" style="16" bestFit="1" customWidth="1"/>
    <col min="7" max="7" width="16.140625" style="16" bestFit="1" customWidth="1"/>
    <col min="8" max="8" width="22.42578125" bestFit="1" customWidth="1"/>
    <col min="9" max="9" width="22.85546875" style="16" bestFit="1" customWidth="1"/>
    <col min="10" max="10" width="25.85546875" bestFit="1" customWidth="1"/>
    <col min="11" max="11" width="16.28515625" bestFit="1" customWidth="1"/>
    <col min="12" max="12" width="14.85546875" bestFit="1" customWidth="1"/>
    <col min="13" max="13" width="23.42578125" bestFit="1" customWidth="1"/>
    <col min="14" max="14" width="20.5703125" bestFit="1" customWidth="1"/>
    <col min="15" max="15" width="22.85546875" bestFit="1" customWidth="1"/>
    <col min="16" max="16" width="18.28515625" bestFit="1" customWidth="1"/>
    <col min="17" max="17" width="22.85546875" bestFit="1" customWidth="1"/>
    <col min="18" max="18" width="25.42578125" bestFit="1" customWidth="1"/>
    <col min="19" max="19" width="30" bestFit="1" customWidth="1"/>
    <col min="20" max="20" width="24.42578125" bestFit="1" customWidth="1"/>
    <col min="21" max="21" width="20" bestFit="1" customWidth="1"/>
    <col min="22" max="23" width="5.42578125" bestFit="1" customWidth="1"/>
    <col min="24" max="25" width="6.85546875" bestFit="1" customWidth="1"/>
    <col min="26" max="26" width="11.5703125" bestFit="1" customWidth="1"/>
    <col min="27" max="27" width="17" bestFit="1" customWidth="1"/>
  </cols>
  <sheetData>
    <row r="1" spans="1:14" ht="24" thickBot="1" x14ac:dyDescent="0.4">
      <c r="A1" s="17" t="s">
        <v>57</v>
      </c>
      <c r="C1" s="39"/>
      <c r="D1" s="32"/>
      <c r="E1" s="53" t="s">
        <v>45</v>
      </c>
      <c r="H1" s="55" t="s">
        <v>76</v>
      </c>
      <c r="M1" s="18" t="s">
        <v>5</v>
      </c>
      <c r="N1" t="s">
        <v>51</v>
      </c>
    </row>
    <row r="2" spans="1:14" ht="16.5" thickTop="1" x14ac:dyDescent="0.25">
      <c r="A2" s="33" t="s">
        <v>3</v>
      </c>
      <c r="B2" s="42" t="s">
        <v>4</v>
      </c>
      <c r="C2" s="41"/>
      <c r="D2" s="31"/>
      <c r="E2" s="50" t="s">
        <v>3</v>
      </c>
      <c r="F2" s="50" t="s">
        <v>4</v>
      </c>
      <c r="G2"/>
      <c r="H2" s="54" t="s">
        <v>3</v>
      </c>
      <c r="I2" s="50" t="s">
        <v>4</v>
      </c>
      <c r="M2" s="18" t="s">
        <v>6</v>
      </c>
      <c r="N2" t="s">
        <v>74</v>
      </c>
    </row>
    <row r="3" spans="1:14" ht="15.75" x14ac:dyDescent="0.25">
      <c r="A3" s="34" t="s">
        <v>58</v>
      </c>
      <c r="B3" s="43">
        <v>1250</v>
      </c>
      <c r="C3" s="39"/>
      <c r="D3" s="31"/>
      <c r="E3" s="51" t="s">
        <v>75</v>
      </c>
      <c r="F3" s="52">
        <v>16577</v>
      </c>
      <c r="G3"/>
      <c r="H3" s="51" t="s">
        <v>77</v>
      </c>
      <c r="I3" s="52">
        <v>14000</v>
      </c>
    </row>
    <row r="4" spans="1:14" ht="15.75" x14ac:dyDescent="0.25">
      <c r="A4" s="34" t="s">
        <v>33</v>
      </c>
      <c r="B4" s="43">
        <v>108</v>
      </c>
      <c r="C4" s="39"/>
      <c r="D4" s="31"/>
      <c r="E4" s="52" t="s">
        <v>43</v>
      </c>
      <c r="F4" s="52">
        <v>10918</v>
      </c>
      <c r="G4"/>
      <c r="H4" s="51" t="s">
        <v>78</v>
      </c>
      <c r="I4" s="52">
        <v>2500</v>
      </c>
      <c r="M4" s="18" t="s">
        <v>47</v>
      </c>
      <c r="N4" t="s">
        <v>50</v>
      </c>
    </row>
    <row r="5" spans="1:14" ht="15.75" x14ac:dyDescent="0.25">
      <c r="A5" s="34" t="s">
        <v>31</v>
      </c>
      <c r="B5" s="43">
        <v>1142</v>
      </c>
      <c r="C5" s="39"/>
      <c r="D5" s="31"/>
      <c r="E5" s="52" t="s">
        <v>44</v>
      </c>
      <c r="F5" s="52">
        <v>5659</v>
      </c>
      <c r="G5"/>
      <c r="H5" s="51" t="s">
        <v>79</v>
      </c>
      <c r="I5" s="52">
        <v>2000</v>
      </c>
      <c r="M5" s="6" t="s">
        <v>9</v>
      </c>
      <c r="N5" s="19">
        <v>32</v>
      </c>
    </row>
    <row r="6" spans="1:14" ht="15.75" x14ac:dyDescent="0.25">
      <c r="A6" s="34" t="s">
        <v>59</v>
      </c>
      <c r="B6" s="43">
        <v>24400</v>
      </c>
      <c r="C6" s="39"/>
      <c r="D6" s="31"/>
      <c r="E6" s="52" t="s">
        <v>39</v>
      </c>
      <c r="F6" s="52">
        <v>0</v>
      </c>
      <c r="G6"/>
      <c r="H6" s="51" t="s">
        <v>81</v>
      </c>
      <c r="I6" s="52">
        <v>416.78</v>
      </c>
      <c r="M6" s="20" t="s">
        <v>54</v>
      </c>
      <c r="N6" s="19">
        <v>32</v>
      </c>
    </row>
    <row r="7" spans="1:14" ht="15.75" x14ac:dyDescent="0.25">
      <c r="A7" s="34" t="s">
        <v>60</v>
      </c>
      <c r="B7" s="43">
        <v>10918</v>
      </c>
      <c r="C7" s="39"/>
      <c r="D7" s="31"/>
      <c r="E7" s="52" t="s">
        <v>36</v>
      </c>
      <c r="F7" s="52">
        <v>0</v>
      </c>
      <c r="G7"/>
      <c r="H7" s="51" t="s">
        <v>80</v>
      </c>
      <c r="I7" s="52">
        <v>416.78</v>
      </c>
      <c r="M7" s="6" t="s">
        <v>53</v>
      </c>
      <c r="N7" s="19">
        <v>650</v>
      </c>
    </row>
    <row r="8" spans="1:14" x14ac:dyDescent="0.25">
      <c r="A8" s="35" t="s">
        <v>61</v>
      </c>
      <c r="B8" s="44">
        <v>5659</v>
      </c>
      <c r="C8" s="39"/>
      <c r="D8" s="31"/>
      <c r="E8" s="52" t="s">
        <v>19</v>
      </c>
      <c r="F8" s="52">
        <v>0</v>
      </c>
      <c r="G8"/>
      <c r="M8" s="20" t="s">
        <v>53</v>
      </c>
      <c r="N8" s="19">
        <v>650</v>
      </c>
    </row>
    <row r="9" spans="1:14" x14ac:dyDescent="0.25">
      <c r="A9" s="35" t="s">
        <v>62</v>
      </c>
      <c r="B9" s="44">
        <v>3520</v>
      </c>
      <c r="C9" s="39"/>
      <c r="D9" s="31"/>
      <c r="G9"/>
      <c r="M9" s="6" t="s">
        <v>46</v>
      </c>
      <c r="N9" s="19">
        <v>72</v>
      </c>
    </row>
    <row r="10" spans="1:14" x14ac:dyDescent="0.25">
      <c r="A10" s="36" t="s">
        <v>63</v>
      </c>
      <c r="B10" s="45">
        <v>3520</v>
      </c>
      <c r="C10" s="39"/>
      <c r="D10" s="31"/>
      <c r="G10"/>
      <c r="M10" s="20" t="s">
        <v>54</v>
      </c>
      <c r="N10" s="19">
        <v>72</v>
      </c>
    </row>
    <row r="11" spans="1:14" x14ac:dyDescent="0.25">
      <c r="A11" s="40" t="s">
        <v>64</v>
      </c>
      <c r="B11" s="46">
        <v>-220</v>
      </c>
      <c r="C11" s="39"/>
      <c r="D11" s="31"/>
      <c r="G11"/>
      <c r="M11" s="6" t="s">
        <v>13</v>
      </c>
      <c r="N11" s="19">
        <v>220</v>
      </c>
    </row>
    <row r="12" spans="1:14" x14ac:dyDescent="0.25">
      <c r="C12" s="39"/>
      <c r="D12" s="31"/>
      <c r="G12"/>
      <c r="M12" s="20" t="s">
        <v>54</v>
      </c>
      <c r="N12" s="19">
        <v>220</v>
      </c>
    </row>
    <row r="13" spans="1:14" x14ac:dyDescent="0.25">
      <c r="C13" s="39"/>
      <c r="D13" s="31"/>
      <c r="G13"/>
      <c r="M13" s="6" t="s">
        <v>48</v>
      </c>
      <c r="N13" s="19">
        <v>974</v>
      </c>
    </row>
    <row r="14" spans="1:14" x14ac:dyDescent="0.25">
      <c r="A14" s="37"/>
      <c r="B14" s="38"/>
      <c r="C14" s="39"/>
      <c r="D14" s="31"/>
      <c r="G14"/>
    </row>
    <row r="15" spans="1:14" x14ac:dyDescent="0.25">
      <c r="C15"/>
      <c r="E15"/>
      <c r="G15"/>
    </row>
    <row r="16" spans="1:14" x14ac:dyDescent="0.25">
      <c r="C16"/>
      <c r="E16"/>
      <c r="G16"/>
    </row>
    <row r="17" spans="2:14" x14ac:dyDescent="0.25">
      <c r="C17"/>
      <c r="E17"/>
      <c r="G17"/>
      <c r="M17" s="18" t="s">
        <v>55</v>
      </c>
      <c r="N17" t="s">
        <v>51</v>
      </c>
    </row>
    <row r="18" spans="2:14" x14ac:dyDescent="0.25">
      <c r="C18"/>
      <c r="E18"/>
      <c r="G18"/>
      <c r="M18" s="18" t="s">
        <v>2</v>
      </c>
      <c r="N18" t="s">
        <v>51</v>
      </c>
    </row>
    <row r="19" spans="2:14" x14ac:dyDescent="0.25">
      <c r="C19"/>
      <c r="E19"/>
      <c r="G19"/>
    </row>
    <row r="20" spans="2:14" x14ac:dyDescent="0.25">
      <c r="C20"/>
      <c r="E20"/>
      <c r="G20"/>
      <c r="M20" s="18" t="s">
        <v>47</v>
      </c>
      <c r="N20" t="s">
        <v>50</v>
      </c>
    </row>
    <row r="21" spans="2:14" x14ac:dyDescent="0.25">
      <c r="C21"/>
      <c r="E21"/>
      <c r="G21"/>
      <c r="M21" s="6" t="s">
        <v>8</v>
      </c>
      <c r="N21" s="19">
        <v>870</v>
      </c>
    </row>
    <row r="22" spans="2:14" x14ac:dyDescent="0.25">
      <c r="C22"/>
      <c r="E22"/>
      <c r="G22"/>
      <c r="M22" s="20" t="s">
        <v>72</v>
      </c>
      <c r="N22" s="19">
        <v>220</v>
      </c>
    </row>
    <row r="23" spans="2:14" x14ac:dyDescent="0.25">
      <c r="B23"/>
      <c r="C23"/>
      <c r="E23"/>
      <c r="G23"/>
      <c r="M23" s="20" t="s">
        <v>56</v>
      </c>
      <c r="N23" s="19">
        <v>150</v>
      </c>
    </row>
    <row r="24" spans="2:14" x14ac:dyDescent="0.25">
      <c r="B24"/>
      <c r="C24"/>
      <c r="E24"/>
      <c r="G24"/>
      <c r="M24" s="20" t="s">
        <v>66</v>
      </c>
      <c r="N24" s="19">
        <v>500</v>
      </c>
    </row>
    <row r="25" spans="2:14" x14ac:dyDescent="0.25">
      <c r="B25"/>
      <c r="C25"/>
      <c r="E25"/>
      <c r="G25"/>
      <c r="M25" s="6" t="s">
        <v>10</v>
      </c>
      <c r="N25" s="19">
        <v>104</v>
      </c>
    </row>
    <row r="26" spans="2:14" x14ac:dyDescent="0.25">
      <c r="B26"/>
      <c r="C26"/>
      <c r="E26"/>
      <c r="G26"/>
      <c r="M26" s="6" t="s">
        <v>49</v>
      </c>
      <c r="N26" s="19"/>
    </row>
    <row r="27" spans="2:14" x14ac:dyDescent="0.25">
      <c r="B27"/>
      <c r="C27"/>
      <c r="E27"/>
      <c r="G27"/>
      <c r="M27" s="6" t="s">
        <v>48</v>
      </c>
      <c r="N27" s="19">
        <v>974</v>
      </c>
    </row>
    <row r="28" spans="2:14" x14ac:dyDescent="0.25">
      <c r="B28"/>
      <c r="C28"/>
      <c r="E28"/>
      <c r="G28"/>
    </row>
    <row r="29" spans="2:14" x14ac:dyDescent="0.25">
      <c r="B29"/>
      <c r="C29"/>
      <c r="E29"/>
      <c r="G29"/>
    </row>
    <row r="30" spans="2:14" x14ac:dyDescent="0.25">
      <c r="B30"/>
      <c r="C30" s="39"/>
      <c r="G30"/>
    </row>
    <row r="31" spans="2:14" x14ac:dyDescent="0.25">
      <c r="B31"/>
      <c r="C31" s="39"/>
    </row>
    <row r="32" spans="2:14" x14ac:dyDescent="0.25">
      <c r="B32"/>
      <c r="C32" s="39"/>
    </row>
    <row r="33" spans="1:3" x14ac:dyDescent="0.25">
      <c r="A33" s="37"/>
      <c r="B33" s="38"/>
      <c r="C33" s="39"/>
    </row>
    <row r="34" spans="1:3" x14ac:dyDescent="0.25">
      <c r="A34" s="37"/>
      <c r="B34" s="38"/>
      <c r="C34" s="39"/>
    </row>
    <row r="35" spans="1:3" x14ac:dyDescent="0.25">
      <c r="A35" s="37"/>
      <c r="B35" s="38"/>
      <c r="C35" s="39"/>
    </row>
    <row r="36" spans="1:3" x14ac:dyDescent="0.25">
      <c r="A36" s="37"/>
      <c r="B36" s="38"/>
      <c r="C36" s="39"/>
    </row>
    <row r="37" spans="1:3" x14ac:dyDescent="0.25">
      <c r="A37" s="37"/>
      <c r="B37" s="38"/>
      <c r="C37" s="39"/>
    </row>
    <row r="38" spans="1:3" x14ac:dyDescent="0.25">
      <c r="A38" s="37"/>
      <c r="B38" s="38"/>
      <c r="C38" s="39"/>
    </row>
    <row r="39" spans="1:3" x14ac:dyDescent="0.25">
      <c r="A39" s="37"/>
      <c r="B39" s="38"/>
      <c r="C39" s="39"/>
    </row>
    <row r="40" spans="1:3" x14ac:dyDescent="0.25">
      <c r="A40" s="37"/>
      <c r="B40" s="38"/>
      <c r="C40" s="39"/>
    </row>
    <row r="41" spans="1:3" x14ac:dyDescent="0.25">
      <c r="A41" s="37"/>
      <c r="B41" s="38"/>
      <c r="C41" s="39"/>
    </row>
    <row r="42" spans="1:3" x14ac:dyDescent="0.25">
      <c r="A42" s="37"/>
      <c r="B42" s="38"/>
      <c r="C42" s="39"/>
    </row>
    <row r="43" spans="1:3" x14ac:dyDescent="0.25">
      <c r="A43" s="37"/>
      <c r="B43" s="38"/>
      <c r="C43" s="39"/>
    </row>
    <row r="44" spans="1:3" x14ac:dyDescent="0.25">
      <c r="A44" s="37"/>
      <c r="B44" s="38"/>
      <c r="C44" s="39"/>
    </row>
    <row r="45" spans="1:3" x14ac:dyDescent="0.25">
      <c r="A45" s="37"/>
      <c r="B45" s="38"/>
      <c r="C45" s="39"/>
    </row>
    <row r="46" spans="1:3" x14ac:dyDescent="0.25">
      <c r="A46" s="37"/>
      <c r="B46" s="38"/>
      <c r="C46" s="39"/>
    </row>
    <row r="47" spans="1:3" x14ac:dyDescent="0.25">
      <c r="A47" s="37"/>
      <c r="B47" s="38"/>
      <c r="C47" s="39"/>
    </row>
    <row r="48" spans="1:3" x14ac:dyDescent="0.25">
      <c r="A48" s="37"/>
      <c r="B48" s="38"/>
      <c r="C48" s="39"/>
    </row>
    <row r="49" spans="1:3" x14ac:dyDescent="0.25">
      <c r="A49" s="37"/>
      <c r="B49" s="38"/>
      <c r="C49" s="39"/>
    </row>
    <row r="50" spans="1:3" x14ac:dyDescent="0.25">
      <c r="A50" s="37"/>
      <c r="B50" s="38"/>
      <c r="C50" s="39"/>
    </row>
    <row r="51" spans="1:3" x14ac:dyDescent="0.25">
      <c r="A51" s="37"/>
      <c r="B51" s="38"/>
      <c r="C51" s="39"/>
    </row>
    <row r="52" spans="1:3" x14ac:dyDescent="0.25">
      <c r="A52" s="37"/>
      <c r="B52" s="38"/>
      <c r="C52" s="39"/>
    </row>
    <row r="53" spans="1:3" x14ac:dyDescent="0.25">
      <c r="A53" s="37"/>
      <c r="B53" s="38"/>
      <c r="C53" s="39"/>
    </row>
    <row r="54" spans="1:3" x14ac:dyDescent="0.25">
      <c r="A54" s="37"/>
      <c r="B54" s="38"/>
      <c r="C54" s="39"/>
    </row>
    <row r="55" spans="1:3" x14ac:dyDescent="0.25">
      <c r="A55" s="37"/>
      <c r="B55" s="38"/>
      <c r="C55" s="39"/>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6" r:id="rId5" name="Button 2">
              <controlPr defaultSize="0" print="0" autoFill="0" autoPict="0" macro="[0]!RefreshAll">
                <anchor moveWithCells="1" sizeWithCells="1">
                  <from>
                    <xdr:col>2</xdr:col>
                    <xdr:colOff>133350</xdr:colOff>
                    <xdr:row>1</xdr:row>
                    <xdr:rowOff>0</xdr:rowOff>
                  </from>
                  <to>
                    <xdr:col>3</xdr:col>
                    <xdr:colOff>609600</xdr:colOff>
                    <xdr:row>10</xdr:row>
                    <xdr:rowOff>142875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33"/>
  <sheetViews>
    <sheetView workbookViewId="0">
      <selection activeCell="D16" sqref="D16"/>
    </sheetView>
  </sheetViews>
  <sheetFormatPr defaultRowHeight="15" x14ac:dyDescent="0.25"/>
  <cols>
    <col min="1" max="1" width="10.42578125" bestFit="1" customWidth="1"/>
    <col min="2" max="2" width="9.140625" customWidth="1"/>
    <col min="3" max="3" width="15" customWidth="1"/>
    <col min="4" max="4" width="22.5703125" customWidth="1"/>
    <col min="5" max="5" width="9.42578125" customWidth="1"/>
    <col min="6" max="6" width="19.140625" customWidth="1"/>
    <col min="8" max="8" width="18" customWidth="1"/>
    <col min="11" max="11" width="3.140625" customWidth="1"/>
    <col min="12" max="12" width="13.140625" customWidth="1"/>
    <col min="13" max="13" width="14.7109375" customWidth="1"/>
  </cols>
  <sheetData>
    <row r="1" spans="1:13" ht="30" x14ac:dyDescent="0.25">
      <c r="A1" s="2" t="s">
        <v>0</v>
      </c>
      <c r="B1" s="2" t="s">
        <v>1</v>
      </c>
      <c r="C1" s="2" t="s">
        <v>2</v>
      </c>
      <c r="D1" s="2" t="s">
        <v>3</v>
      </c>
      <c r="E1" s="2" t="s">
        <v>4</v>
      </c>
      <c r="F1" s="2" t="s">
        <v>5</v>
      </c>
      <c r="G1" s="2" t="s">
        <v>6</v>
      </c>
      <c r="H1" s="2" t="s">
        <v>55</v>
      </c>
      <c r="L1" s="23" t="s">
        <v>67</v>
      </c>
      <c r="M1" s="23" t="s">
        <v>68</v>
      </c>
    </row>
    <row r="2" spans="1:13" x14ac:dyDescent="0.25">
      <c r="A2" s="48" t="s">
        <v>69</v>
      </c>
      <c r="B2" s="25" t="s">
        <v>41</v>
      </c>
      <c r="C2" s="25" t="s">
        <v>9</v>
      </c>
      <c r="D2" s="25" t="s">
        <v>42</v>
      </c>
      <c r="E2" s="22">
        <v>32</v>
      </c>
      <c r="F2" s="25" t="s">
        <v>10</v>
      </c>
      <c r="G2" s="25" t="s">
        <v>12</v>
      </c>
      <c r="H2" s="25" t="s">
        <v>54</v>
      </c>
      <c r="L2" s="16">
        <v>650</v>
      </c>
      <c r="M2" s="16">
        <v>324</v>
      </c>
    </row>
    <row r="3" spans="1:13" ht="30" x14ac:dyDescent="0.25">
      <c r="A3" s="48">
        <v>45625</v>
      </c>
      <c r="B3" s="25" t="s">
        <v>70</v>
      </c>
      <c r="C3" s="25" t="s">
        <v>46</v>
      </c>
      <c r="D3" s="49" t="s">
        <v>52</v>
      </c>
      <c r="E3" s="22">
        <v>72</v>
      </c>
      <c r="F3" s="25" t="s">
        <v>10</v>
      </c>
      <c r="G3" s="25" t="s">
        <v>12</v>
      </c>
      <c r="H3" s="25" t="s">
        <v>54</v>
      </c>
    </row>
    <row r="4" spans="1:13" x14ac:dyDescent="0.25">
      <c r="A4" s="48">
        <v>45537</v>
      </c>
      <c r="B4" s="25" t="s">
        <v>56</v>
      </c>
      <c r="C4" s="25" t="s">
        <v>53</v>
      </c>
      <c r="D4" s="49" t="s">
        <v>65</v>
      </c>
      <c r="E4" s="24">
        <v>150</v>
      </c>
      <c r="F4" s="25" t="s">
        <v>8</v>
      </c>
      <c r="G4" s="25" t="s">
        <v>12</v>
      </c>
      <c r="H4" s="25" t="s">
        <v>53</v>
      </c>
    </row>
    <row r="5" spans="1:13" x14ac:dyDescent="0.25">
      <c r="A5" s="48">
        <v>45932</v>
      </c>
      <c r="B5" s="25" t="s">
        <v>66</v>
      </c>
      <c r="C5" s="25" t="s">
        <v>53</v>
      </c>
      <c r="D5" s="49" t="s">
        <v>71</v>
      </c>
      <c r="E5" s="24">
        <v>500</v>
      </c>
      <c r="F5" s="25" t="s">
        <v>8</v>
      </c>
      <c r="G5" s="25" t="s">
        <v>32</v>
      </c>
      <c r="H5" s="25" t="s">
        <v>53</v>
      </c>
      <c r="I5" s="23" t="s">
        <v>34</v>
      </c>
      <c r="J5" s="28">
        <f xml:space="preserve"> SUM(E:E)</f>
        <v>974</v>
      </c>
    </row>
    <row r="6" spans="1:13" x14ac:dyDescent="0.25">
      <c r="A6" s="48">
        <v>40149</v>
      </c>
      <c r="B6" s="25" t="s">
        <v>72</v>
      </c>
      <c r="C6" s="26" t="s">
        <v>13</v>
      </c>
      <c r="D6" s="49" t="s">
        <v>73</v>
      </c>
      <c r="E6" s="22">
        <v>220</v>
      </c>
      <c r="F6" s="25" t="s">
        <v>8</v>
      </c>
      <c r="G6" s="25" t="s">
        <v>12</v>
      </c>
      <c r="H6" s="25" t="s">
        <v>54</v>
      </c>
    </row>
    <row r="7" spans="1:13" x14ac:dyDescent="0.25">
      <c r="A7" s="48"/>
      <c r="B7" s="25"/>
      <c r="C7" s="25"/>
      <c r="D7" s="49"/>
      <c r="E7" s="26"/>
      <c r="F7" s="25"/>
      <c r="G7" s="25"/>
      <c r="H7" s="25"/>
    </row>
    <row r="8" spans="1:13" x14ac:dyDescent="0.25">
      <c r="A8" s="5"/>
      <c r="B8" s="3"/>
      <c r="C8" s="3"/>
      <c r="D8" s="4"/>
      <c r="E8" s="26"/>
      <c r="F8" s="3"/>
      <c r="G8" s="3"/>
      <c r="H8" s="3"/>
    </row>
    <row r="9" spans="1:13" x14ac:dyDescent="0.25">
      <c r="A9" s="1"/>
      <c r="E9" s="21"/>
    </row>
    <row r="10" spans="1:13" x14ac:dyDescent="0.25">
      <c r="A10" s="1"/>
    </row>
    <row r="11" spans="1:13" x14ac:dyDescent="0.25">
      <c r="A11" s="1"/>
    </row>
    <row r="12" spans="1:13" x14ac:dyDescent="0.25">
      <c r="A12" s="1"/>
    </row>
    <row r="13" spans="1:13" x14ac:dyDescent="0.25">
      <c r="A13" s="1"/>
    </row>
    <row r="14" spans="1:13" x14ac:dyDescent="0.25">
      <c r="A14" s="1"/>
    </row>
    <row r="15" spans="1:13" x14ac:dyDescent="0.25">
      <c r="A15" s="1"/>
    </row>
    <row r="16" spans="1:13" x14ac:dyDescent="0.25">
      <c r="A16" s="1"/>
    </row>
    <row r="17" spans="1:1" x14ac:dyDescent="0.25">
      <c r="A17" s="1"/>
    </row>
    <row r="18" spans="1:1" x14ac:dyDescent="0.25">
      <c r="A18" s="1"/>
    </row>
    <row r="19" spans="1:1" x14ac:dyDescent="0.25">
      <c r="A19" s="1"/>
    </row>
    <row r="20" spans="1:1" x14ac:dyDescent="0.25">
      <c r="A20" s="1"/>
    </row>
    <row r="21" spans="1:1" x14ac:dyDescent="0.25">
      <c r="A21" s="1"/>
    </row>
    <row r="22" spans="1:1" x14ac:dyDescent="0.25">
      <c r="A22" s="1"/>
    </row>
    <row r="23" spans="1:1" x14ac:dyDescent="0.25">
      <c r="A23" s="1"/>
    </row>
    <row r="24" spans="1:1" x14ac:dyDescent="0.25">
      <c r="A24" s="1"/>
    </row>
    <row r="25" spans="1:1" x14ac:dyDescent="0.25">
      <c r="A25" s="1"/>
    </row>
    <row r="26" spans="1:1" x14ac:dyDescent="0.25">
      <c r="A26" s="1"/>
    </row>
    <row r="27" spans="1:1" x14ac:dyDescent="0.25">
      <c r="A27" s="1"/>
    </row>
    <row r="28" spans="1:1" x14ac:dyDescent="0.25">
      <c r="A28" s="1"/>
    </row>
    <row r="29" spans="1:1" x14ac:dyDescent="0.25">
      <c r="A29" s="1"/>
    </row>
    <row r="30" spans="1:1" x14ac:dyDescent="0.25">
      <c r="A30" s="1"/>
    </row>
    <row r="31" spans="1:1" x14ac:dyDescent="0.25">
      <c r="A31" s="1"/>
    </row>
    <row r="32" spans="1:1" x14ac:dyDescent="0.25">
      <c r="A32" s="1"/>
    </row>
    <row r="33" spans="1:1" x14ac:dyDescent="0.25">
      <c r="A33"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RowBtn2_Click">
                <anchor moveWithCells="1" sizeWithCells="1">
                  <from>
                    <xdr:col>11</xdr:col>
                    <xdr:colOff>133350</xdr:colOff>
                    <xdr:row>8</xdr:row>
                    <xdr:rowOff>171450</xdr:rowOff>
                  </from>
                  <to>
                    <xdr:col>14</xdr:col>
                    <xdr:colOff>123825</xdr:colOff>
                    <xdr:row>11</xdr:row>
                    <xdr:rowOff>28575</xdr:rowOff>
                  </to>
                </anchor>
              </controlPr>
            </control>
          </mc:Choice>
        </mc:AlternateContent>
        <mc:AlternateContent xmlns:mc="http://schemas.openxmlformats.org/markup-compatibility/2006">
          <mc:Choice Requires="x14">
            <control shapeId="1027" r:id="rId5" name="Button 3">
              <controlPr defaultSize="0" print="0" autoFill="0" autoPict="0" macro="[0]!AddItem_Click">
                <anchor moveWithCells="1" sizeWithCells="1">
                  <from>
                    <xdr:col>11</xdr:col>
                    <xdr:colOff>123825</xdr:colOff>
                    <xdr:row>3</xdr:row>
                    <xdr:rowOff>152400</xdr:rowOff>
                  </from>
                  <to>
                    <xdr:col>14</xdr:col>
                    <xdr:colOff>133350</xdr:colOff>
                    <xdr:row>6</xdr:row>
                    <xdr:rowOff>28575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DFDBB-7B79-45E9-91AC-BBEE06D04436}">
  <sheetPr codeName="Sheet5"/>
  <dimension ref="A1:G94"/>
  <sheetViews>
    <sheetView workbookViewId="0">
      <selection activeCell="F9" sqref="F9"/>
    </sheetView>
  </sheetViews>
  <sheetFormatPr defaultRowHeight="15" x14ac:dyDescent="0.25"/>
  <cols>
    <col min="1" max="1" width="19.42578125" customWidth="1"/>
    <col min="2" max="2" width="10.28515625" customWidth="1"/>
    <col min="3" max="3" width="16" customWidth="1"/>
    <col min="4" max="4" width="24.140625" style="15" customWidth="1"/>
    <col min="5" max="5" width="20.42578125" style="15" customWidth="1"/>
    <col min="6" max="6" width="12.28515625" customWidth="1"/>
  </cols>
  <sheetData>
    <row r="1" spans="1:7" ht="30" x14ac:dyDescent="0.25">
      <c r="A1" s="2" t="s">
        <v>35</v>
      </c>
      <c r="B1" s="2" t="s">
        <v>14</v>
      </c>
      <c r="C1" s="2" t="s">
        <v>4</v>
      </c>
      <c r="D1" s="13" t="s">
        <v>15</v>
      </c>
      <c r="E1" s="13" t="s">
        <v>16</v>
      </c>
      <c r="F1" s="2" t="s">
        <v>17</v>
      </c>
      <c r="G1" s="2" t="s">
        <v>18</v>
      </c>
    </row>
    <row r="2" spans="1:7" x14ac:dyDescent="0.25">
      <c r="A2" s="3" t="s">
        <v>37</v>
      </c>
      <c r="B2" s="5">
        <v>45638</v>
      </c>
      <c r="C2" s="3">
        <v>14867</v>
      </c>
      <c r="D2" s="12">
        <v>10855</v>
      </c>
      <c r="E2" s="12">
        <v>4012</v>
      </c>
      <c r="F2" s="3">
        <v>15</v>
      </c>
      <c r="G2" s="7" t="s">
        <v>19</v>
      </c>
    </row>
    <row r="3" spans="1:7" x14ac:dyDescent="0.25">
      <c r="A3" s="3" t="s">
        <v>40</v>
      </c>
      <c r="B3" s="5">
        <v>45576</v>
      </c>
      <c r="C3" s="3">
        <v>711</v>
      </c>
      <c r="D3" s="12">
        <v>21</v>
      </c>
      <c r="E3" s="12">
        <v>690</v>
      </c>
      <c r="F3" s="3">
        <v>-47</v>
      </c>
      <c r="G3" s="7" t="s">
        <v>36</v>
      </c>
    </row>
    <row r="4" spans="1:7" ht="30" x14ac:dyDescent="0.25">
      <c r="A4" s="3" t="s">
        <v>38</v>
      </c>
      <c r="B4" s="5">
        <v>45623</v>
      </c>
      <c r="C4" s="3">
        <v>999</v>
      </c>
      <c r="D4" s="12">
        <v>42</v>
      </c>
      <c r="E4" s="12">
        <v>957</v>
      </c>
      <c r="F4" s="3">
        <v>0</v>
      </c>
      <c r="G4" s="7" t="s">
        <v>39</v>
      </c>
    </row>
    <row r="5" spans="1:7" x14ac:dyDescent="0.25">
      <c r="A5" s="3"/>
      <c r="B5" s="3"/>
      <c r="C5" s="6"/>
      <c r="D5" s="14"/>
      <c r="E5" s="14"/>
      <c r="F5" s="6"/>
    </row>
    <row r="6" spans="1:7" x14ac:dyDescent="0.25">
      <c r="A6" s="3"/>
      <c r="B6" s="3"/>
      <c r="C6" s="6"/>
      <c r="D6" s="14"/>
      <c r="E6" s="14"/>
      <c r="F6" s="6"/>
    </row>
    <row r="7" spans="1:7" x14ac:dyDescent="0.25">
      <c r="A7" s="3"/>
      <c r="B7" s="3"/>
      <c r="C7" s="6"/>
      <c r="D7" s="14"/>
      <c r="E7" s="14"/>
    </row>
    <row r="8" spans="1:7" x14ac:dyDescent="0.25">
      <c r="A8" s="3"/>
      <c r="B8" s="3"/>
      <c r="C8" s="6"/>
      <c r="D8" s="14"/>
      <c r="E8" s="14"/>
    </row>
    <row r="9" spans="1:7" x14ac:dyDescent="0.25">
      <c r="A9" s="6"/>
      <c r="B9" s="6"/>
      <c r="C9" s="6"/>
      <c r="D9" s="14"/>
      <c r="E9" s="14"/>
    </row>
    <row r="10" spans="1:7" x14ac:dyDescent="0.25">
      <c r="A10" s="6"/>
      <c r="B10" s="6"/>
      <c r="C10" s="6"/>
      <c r="D10" s="14"/>
      <c r="E10" s="14"/>
    </row>
    <row r="11" spans="1:7" x14ac:dyDescent="0.25">
      <c r="A11" s="6"/>
      <c r="B11" s="6"/>
      <c r="C11" s="6"/>
      <c r="D11" s="14"/>
      <c r="E11" s="14"/>
    </row>
    <row r="12" spans="1:7" x14ac:dyDescent="0.25">
      <c r="A12" s="6"/>
      <c r="B12" s="6"/>
      <c r="C12" s="6"/>
      <c r="D12" s="14"/>
      <c r="E12" s="14"/>
    </row>
    <row r="13" spans="1:7" x14ac:dyDescent="0.25">
      <c r="A13" s="6"/>
      <c r="B13" s="6"/>
      <c r="C13" s="6"/>
      <c r="D13" s="14"/>
      <c r="E13" s="14"/>
    </row>
    <row r="14" spans="1:7" x14ac:dyDescent="0.25">
      <c r="A14" s="6"/>
      <c r="B14" s="6"/>
      <c r="C14" s="6"/>
      <c r="D14" s="14"/>
      <c r="E14" s="14"/>
    </row>
    <row r="15" spans="1:7" x14ac:dyDescent="0.25">
      <c r="A15" s="6"/>
      <c r="B15" s="6"/>
      <c r="C15" s="6"/>
      <c r="D15" s="14"/>
      <c r="E15" s="14"/>
    </row>
    <row r="16" spans="1:7" x14ac:dyDescent="0.25">
      <c r="A16" s="6"/>
      <c r="B16" s="6"/>
      <c r="C16" s="6"/>
      <c r="D16" s="14"/>
      <c r="E16" s="14"/>
    </row>
    <row r="17" spans="1:5" x14ac:dyDescent="0.25">
      <c r="A17" s="6"/>
      <c r="B17" s="6"/>
      <c r="C17" s="6"/>
      <c r="D17" s="14"/>
      <c r="E17" s="14"/>
    </row>
    <row r="18" spans="1:5" x14ac:dyDescent="0.25">
      <c r="A18" s="6"/>
      <c r="B18" s="6"/>
      <c r="C18" s="6"/>
      <c r="D18" s="14"/>
      <c r="E18" s="14"/>
    </row>
    <row r="19" spans="1:5" x14ac:dyDescent="0.25">
      <c r="A19" s="6"/>
      <c r="B19" s="6"/>
      <c r="C19" s="6"/>
      <c r="D19" s="14"/>
      <c r="E19" s="14"/>
    </row>
    <row r="20" spans="1:5" x14ac:dyDescent="0.25">
      <c r="A20" s="6"/>
      <c r="B20" s="6"/>
      <c r="C20" s="6"/>
      <c r="D20" s="14"/>
      <c r="E20" s="14"/>
    </row>
    <row r="21" spans="1:5" x14ac:dyDescent="0.25">
      <c r="A21" s="6"/>
      <c r="B21" s="6"/>
      <c r="C21" s="6"/>
      <c r="D21" s="14"/>
      <c r="E21" s="14"/>
    </row>
    <row r="22" spans="1:5" x14ac:dyDescent="0.25">
      <c r="A22" s="6"/>
      <c r="B22" s="6"/>
      <c r="C22" s="6"/>
      <c r="D22" s="14"/>
      <c r="E22" s="14"/>
    </row>
    <row r="23" spans="1:5" x14ac:dyDescent="0.25">
      <c r="A23" s="6"/>
      <c r="B23" s="6"/>
      <c r="C23" s="6"/>
      <c r="D23" s="14"/>
      <c r="E23" s="14"/>
    </row>
    <row r="24" spans="1:5" x14ac:dyDescent="0.25">
      <c r="A24" s="6"/>
      <c r="B24" s="6"/>
      <c r="C24" s="6"/>
      <c r="D24" s="14"/>
      <c r="E24" s="14"/>
    </row>
    <row r="25" spans="1:5" x14ac:dyDescent="0.25">
      <c r="A25" s="6"/>
      <c r="B25" s="6"/>
      <c r="C25" s="6"/>
      <c r="D25" s="14"/>
      <c r="E25" s="14"/>
    </row>
    <row r="26" spans="1:5" x14ac:dyDescent="0.25">
      <c r="A26" s="6"/>
      <c r="B26" s="6"/>
      <c r="C26" s="6"/>
      <c r="D26" s="14"/>
      <c r="E26" s="14"/>
    </row>
    <row r="27" spans="1:5" x14ac:dyDescent="0.25">
      <c r="A27" s="6"/>
      <c r="B27" s="6"/>
      <c r="C27" s="6"/>
      <c r="D27" s="14"/>
      <c r="E27" s="14"/>
    </row>
    <row r="28" spans="1:5" x14ac:dyDescent="0.25">
      <c r="A28" s="6"/>
      <c r="B28" s="6"/>
      <c r="C28" s="6"/>
      <c r="D28" s="14"/>
      <c r="E28" s="14"/>
    </row>
    <row r="29" spans="1:5" x14ac:dyDescent="0.25">
      <c r="A29" s="6"/>
      <c r="B29" s="6"/>
      <c r="C29" s="6"/>
      <c r="D29" s="14"/>
      <c r="E29" s="14"/>
    </row>
    <row r="30" spans="1:5" x14ac:dyDescent="0.25">
      <c r="A30" s="6"/>
      <c r="B30" s="6"/>
      <c r="C30" s="6"/>
      <c r="D30" s="14"/>
      <c r="E30" s="14"/>
    </row>
    <row r="31" spans="1:5" x14ac:dyDescent="0.25">
      <c r="A31" s="6"/>
      <c r="B31" s="6"/>
      <c r="C31" s="6"/>
      <c r="D31" s="14"/>
      <c r="E31" s="14"/>
    </row>
    <row r="32" spans="1:5" x14ac:dyDescent="0.25">
      <c r="A32" s="6"/>
      <c r="B32" s="6"/>
      <c r="C32" s="6"/>
      <c r="D32" s="14"/>
      <c r="E32" s="14"/>
    </row>
    <row r="33" spans="1:5" x14ac:dyDescent="0.25">
      <c r="A33" s="6"/>
      <c r="B33" s="6"/>
      <c r="C33" s="6"/>
      <c r="D33" s="14"/>
      <c r="E33" s="14"/>
    </row>
    <row r="34" spans="1:5" x14ac:dyDescent="0.25">
      <c r="A34" s="6"/>
      <c r="B34" s="6"/>
      <c r="C34" s="6"/>
      <c r="D34" s="14"/>
      <c r="E34" s="14"/>
    </row>
    <row r="35" spans="1:5" x14ac:dyDescent="0.25">
      <c r="A35" s="6"/>
      <c r="B35" s="6"/>
      <c r="C35" s="6"/>
      <c r="D35" s="14"/>
      <c r="E35" s="14"/>
    </row>
    <row r="36" spans="1:5" x14ac:dyDescent="0.25">
      <c r="A36" s="6"/>
      <c r="B36" s="6"/>
      <c r="C36" s="6"/>
      <c r="D36" s="14"/>
      <c r="E36" s="14"/>
    </row>
    <row r="37" spans="1:5" x14ac:dyDescent="0.25">
      <c r="A37" s="6"/>
      <c r="B37" s="6"/>
      <c r="C37" s="6"/>
      <c r="D37" s="14"/>
      <c r="E37" s="14"/>
    </row>
    <row r="38" spans="1:5" x14ac:dyDescent="0.25">
      <c r="A38" s="6"/>
      <c r="B38" s="6"/>
      <c r="C38" s="6"/>
      <c r="D38" s="14"/>
      <c r="E38" s="14"/>
    </row>
    <row r="39" spans="1:5" x14ac:dyDescent="0.25">
      <c r="A39" s="6"/>
      <c r="B39" s="6"/>
      <c r="C39" s="6"/>
      <c r="D39" s="14"/>
      <c r="E39" s="14"/>
    </row>
    <row r="40" spans="1:5" x14ac:dyDescent="0.25">
      <c r="A40" s="6"/>
      <c r="B40" s="6"/>
      <c r="C40" s="6"/>
      <c r="D40" s="14"/>
      <c r="E40" s="14"/>
    </row>
    <row r="41" spans="1:5" x14ac:dyDescent="0.25">
      <c r="A41" s="6"/>
      <c r="B41" s="6"/>
      <c r="C41" s="6"/>
      <c r="D41" s="14"/>
      <c r="E41" s="14"/>
    </row>
    <row r="42" spans="1:5" x14ac:dyDescent="0.25">
      <c r="A42" s="6"/>
      <c r="B42" s="6"/>
      <c r="C42" s="6"/>
      <c r="D42" s="14"/>
      <c r="E42" s="14"/>
    </row>
    <row r="43" spans="1:5" x14ac:dyDescent="0.25">
      <c r="A43" s="6"/>
      <c r="B43" s="6"/>
      <c r="C43" s="6"/>
      <c r="D43" s="14"/>
      <c r="E43" s="14"/>
    </row>
    <row r="44" spans="1:5" x14ac:dyDescent="0.25">
      <c r="A44" s="6"/>
      <c r="B44" s="6"/>
      <c r="C44" s="6"/>
      <c r="D44" s="14"/>
      <c r="E44" s="14"/>
    </row>
    <row r="45" spans="1:5" x14ac:dyDescent="0.25">
      <c r="A45" s="6"/>
      <c r="B45" s="6"/>
      <c r="C45" s="6"/>
      <c r="D45" s="14"/>
      <c r="E45" s="14"/>
    </row>
    <row r="46" spans="1:5" x14ac:dyDescent="0.25">
      <c r="A46" s="6"/>
      <c r="B46" s="6"/>
      <c r="C46" s="6"/>
      <c r="D46" s="14"/>
      <c r="E46" s="14"/>
    </row>
    <row r="47" spans="1:5" x14ac:dyDescent="0.25">
      <c r="A47" s="6"/>
      <c r="B47" s="6"/>
      <c r="C47" s="6"/>
      <c r="D47" s="14"/>
      <c r="E47" s="14"/>
    </row>
    <row r="48" spans="1:5" x14ac:dyDescent="0.25">
      <c r="A48" s="6"/>
      <c r="B48" s="6"/>
      <c r="C48" s="6"/>
      <c r="D48" s="14"/>
      <c r="E48" s="14"/>
    </row>
    <row r="49" spans="1:5" x14ac:dyDescent="0.25">
      <c r="A49" s="6"/>
      <c r="B49" s="6"/>
      <c r="C49" s="6"/>
      <c r="D49" s="14"/>
      <c r="E49" s="14"/>
    </row>
    <row r="50" spans="1:5" x14ac:dyDescent="0.25">
      <c r="A50" s="6"/>
      <c r="B50" s="6"/>
      <c r="C50" s="6"/>
      <c r="D50" s="14"/>
      <c r="E50" s="14"/>
    </row>
    <row r="51" spans="1:5" x14ac:dyDescent="0.25">
      <c r="A51" s="6"/>
      <c r="B51" s="6"/>
      <c r="C51" s="6"/>
      <c r="D51" s="14"/>
      <c r="E51" s="14"/>
    </row>
    <row r="52" spans="1:5" x14ac:dyDescent="0.25">
      <c r="A52" s="6"/>
      <c r="B52" s="6"/>
      <c r="C52" s="6"/>
      <c r="D52" s="14"/>
      <c r="E52" s="14"/>
    </row>
    <row r="53" spans="1:5" x14ac:dyDescent="0.25">
      <c r="A53" s="6"/>
      <c r="B53" s="6"/>
      <c r="C53" s="6"/>
      <c r="D53" s="14"/>
      <c r="E53" s="14"/>
    </row>
    <row r="54" spans="1:5" x14ac:dyDescent="0.25">
      <c r="A54" s="6"/>
      <c r="B54" s="6"/>
      <c r="C54" s="6"/>
      <c r="D54" s="14"/>
      <c r="E54" s="14"/>
    </row>
    <row r="55" spans="1:5" x14ac:dyDescent="0.25">
      <c r="A55" s="6"/>
      <c r="B55" s="6"/>
      <c r="C55" s="6"/>
      <c r="D55" s="14"/>
      <c r="E55" s="14"/>
    </row>
    <row r="56" spans="1:5" x14ac:dyDescent="0.25">
      <c r="A56" s="6"/>
      <c r="B56" s="6"/>
      <c r="C56" s="6"/>
      <c r="D56" s="14"/>
      <c r="E56" s="14"/>
    </row>
    <row r="57" spans="1:5" x14ac:dyDescent="0.25">
      <c r="A57" s="6"/>
      <c r="B57" s="6"/>
      <c r="C57" s="6"/>
      <c r="D57" s="14"/>
      <c r="E57" s="14"/>
    </row>
    <row r="58" spans="1:5" x14ac:dyDescent="0.25">
      <c r="A58" s="6"/>
      <c r="B58" s="6"/>
      <c r="C58" s="6"/>
      <c r="D58" s="14"/>
      <c r="E58" s="14"/>
    </row>
    <row r="59" spans="1:5" x14ac:dyDescent="0.25">
      <c r="A59" s="6"/>
      <c r="B59" s="6"/>
      <c r="C59" s="6"/>
      <c r="D59" s="14"/>
      <c r="E59" s="14"/>
    </row>
    <row r="60" spans="1:5" x14ac:dyDescent="0.25">
      <c r="A60" s="6"/>
      <c r="B60" s="6"/>
      <c r="C60" s="6"/>
      <c r="D60" s="14"/>
      <c r="E60" s="14"/>
    </row>
    <row r="61" spans="1:5" x14ac:dyDescent="0.25">
      <c r="A61" s="6"/>
      <c r="B61" s="6"/>
      <c r="C61" s="6"/>
      <c r="D61" s="14"/>
      <c r="E61" s="14"/>
    </row>
    <row r="62" spans="1:5" x14ac:dyDescent="0.25">
      <c r="A62" s="6"/>
      <c r="B62" s="6"/>
      <c r="C62" s="6"/>
      <c r="D62" s="14"/>
      <c r="E62" s="14"/>
    </row>
    <row r="63" spans="1:5" x14ac:dyDescent="0.25">
      <c r="A63" s="6"/>
      <c r="B63" s="6"/>
      <c r="C63" s="6"/>
      <c r="D63" s="14"/>
      <c r="E63" s="14"/>
    </row>
    <row r="64" spans="1:5" x14ac:dyDescent="0.25">
      <c r="A64" s="6"/>
      <c r="B64" s="6"/>
      <c r="C64" s="6"/>
      <c r="D64" s="14"/>
      <c r="E64" s="14"/>
    </row>
    <row r="65" spans="1:5" x14ac:dyDescent="0.25">
      <c r="A65" s="6"/>
      <c r="B65" s="6"/>
      <c r="C65" s="6"/>
      <c r="D65" s="14"/>
      <c r="E65" s="14"/>
    </row>
    <row r="66" spans="1:5" x14ac:dyDescent="0.25">
      <c r="A66" s="6"/>
      <c r="B66" s="6"/>
      <c r="C66" s="6"/>
      <c r="D66" s="14"/>
      <c r="E66" s="14"/>
    </row>
    <row r="67" spans="1:5" x14ac:dyDescent="0.25">
      <c r="A67" s="6"/>
      <c r="B67" s="6"/>
      <c r="C67" s="6"/>
      <c r="D67" s="14"/>
      <c r="E67" s="14"/>
    </row>
    <row r="68" spans="1:5" x14ac:dyDescent="0.25">
      <c r="A68" s="6"/>
      <c r="B68" s="6"/>
      <c r="C68" s="6"/>
      <c r="D68" s="14"/>
      <c r="E68" s="14"/>
    </row>
    <row r="69" spans="1:5" x14ac:dyDescent="0.25">
      <c r="A69" s="6"/>
      <c r="B69" s="6"/>
      <c r="C69" s="6"/>
      <c r="D69" s="14"/>
      <c r="E69" s="14"/>
    </row>
    <row r="70" spans="1:5" x14ac:dyDescent="0.25">
      <c r="A70" s="6"/>
      <c r="B70" s="6"/>
      <c r="C70" s="6"/>
      <c r="D70" s="14"/>
      <c r="E70" s="14"/>
    </row>
    <row r="71" spans="1:5" x14ac:dyDescent="0.25">
      <c r="A71" s="6"/>
      <c r="B71" s="6"/>
      <c r="C71" s="6"/>
      <c r="D71" s="14"/>
      <c r="E71" s="14"/>
    </row>
    <row r="72" spans="1:5" x14ac:dyDescent="0.25">
      <c r="A72" s="6"/>
      <c r="B72" s="6"/>
      <c r="C72" s="6"/>
      <c r="D72" s="14"/>
      <c r="E72" s="14"/>
    </row>
    <row r="73" spans="1:5" x14ac:dyDescent="0.25">
      <c r="A73" s="6"/>
      <c r="B73" s="6"/>
      <c r="C73" s="6"/>
      <c r="D73" s="14"/>
      <c r="E73" s="14"/>
    </row>
    <row r="74" spans="1:5" x14ac:dyDescent="0.25">
      <c r="A74" s="6"/>
      <c r="B74" s="6"/>
      <c r="C74" s="6"/>
      <c r="D74" s="14"/>
      <c r="E74" s="14"/>
    </row>
    <row r="75" spans="1:5" x14ac:dyDescent="0.25">
      <c r="A75" s="6"/>
      <c r="B75" s="6"/>
      <c r="C75" s="6"/>
      <c r="D75" s="14"/>
      <c r="E75" s="14"/>
    </row>
    <row r="76" spans="1:5" x14ac:dyDescent="0.25">
      <c r="A76" s="6"/>
      <c r="B76" s="6"/>
      <c r="C76" s="6"/>
      <c r="D76" s="14"/>
      <c r="E76" s="14"/>
    </row>
    <row r="77" spans="1:5" x14ac:dyDescent="0.25">
      <c r="A77" s="6"/>
      <c r="B77" s="6"/>
      <c r="C77" s="6"/>
      <c r="D77" s="14"/>
      <c r="E77" s="14"/>
    </row>
    <row r="78" spans="1:5" x14ac:dyDescent="0.25">
      <c r="A78" s="6"/>
      <c r="B78" s="6"/>
      <c r="C78" s="6"/>
      <c r="D78" s="14"/>
      <c r="E78" s="14"/>
    </row>
    <row r="79" spans="1:5" x14ac:dyDescent="0.25">
      <c r="A79" s="6"/>
      <c r="B79" s="6"/>
      <c r="C79" s="6"/>
      <c r="D79" s="14"/>
      <c r="E79" s="14"/>
    </row>
    <row r="80" spans="1:5" x14ac:dyDescent="0.25">
      <c r="A80" s="6"/>
      <c r="B80" s="6"/>
      <c r="C80" s="6"/>
      <c r="D80" s="14"/>
      <c r="E80" s="14"/>
    </row>
    <row r="81" spans="1:5" x14ac:dyDescent="0.25">
      <c r="A81" s="6"/>
      <c r="B81" s="6"/>
      <c r="C81" s="6"/>
      <c r="D81" s="14"/>
      <c r="E81" s="14"/>
    </row>
    <row r="82" spans="1:5" x14ac:dyDescent="0.25">
      <c r="A82" s="6"/>
      <c r="B82" s="6"/>
      <c r="C82" s="6"/>
      <c r="D82" s="14"/>
      <c r="E82" s="14"/>
    </row>
    <row r="83" spans="1:5" x14ac:dyDescent="0.25">
      <c r="A83" s="6"/>
      <c r="B83" s="6"/>
      <c r="C83" s="6"/>
      <c r="D83" s="14"/>
      <c r="E83" s="14"/>
    </row>
    <row r="84" spans="1:5" x14ac:dyDescent="0.25">
      <c r="A84" s="6"/>
      <c r="B84" s="6"/>
      <c r="C84" s="6"/>
      <c r="D84" s="14"/>
      <c r="E84" s="14"/>
    </row>
    <row r="85" spans="1:5" x14ac:dyDescent="0.25">
      <c r="A85" s="6"/>
      <c r="B85" s="6"/>
      <c r="C85" s="6"/>
      <c r="D85" s="14"/>
      <c r="E85" s="14"/>
    </row>
    <row r="86" spans="1:5" x14ac:dyDescent="0.25">
      <c r="A86" s="6"/>
      <c r="B86" s="6"/>
      <c r="C86" s="6"/>
      <c r="D86" s="14"/>
      <c r="E86" s="14"/>
    </row>
    <row r="87" spans="1:5" x14ac:dyDescent="0.25">
      <c r="A87" s="6"/>
      <c r="B87" s="6"/>
      <c r="C87" s="6"/>
      <c r="D87" s="14"/>
      <c r="E87" s="14"/>
    </row>
    <row r="88" spans="1:5" x14ac:dyDescent="0.25">
      <c r="A88" s="6"/>
      <c r="B88" s="6"/>
      <c r="C88" s="6"/>
      <c r="D88" s="14"/>
      <c r="E88" s="14"/>
    </row>
    <row r="89" spans="1:5" x14ac:dyDescent="0.25">
      <c r="A89" s="6"/>
      <c r="B89" s="6"/>
      <c r="C89" s="6"/>
      <c r="D89" s="14"/>
      <c r="E89" s="14"/>
    </row>
    <row r="90" spans="1:5" x14ac:dyDescent="0.25">
      <c r="A90" s="6"/>
      <c r="B90" s="6"/>
      <c r="C90" s="6"/>
      <c r="D90" s="14"/>
      <c r="E90" s="14"/>
    </row>
    <row r="91" spans="1:5" x14ac:dyDescent="0.25">
      <c r="A91" s="6"/>
      <c r="B91" s="6"/>
      <c r="C91" s="6"/>
      <c r="D91" s="14"/>
      <c r="E91" s="14"/>
    </row>
    <row r="92" spans="1:5" x14ac:dyDescent="0.25">
      <c r="A92" s="6"/>
      <c r="B92" s="6"/>
      <c r="C92" s="6"/>
      <c r="D92" s="14"/>
      <c r="E92" s="14"/>
    </row>
    <row r="93" spans="1:5" x14ac:dyDescent="0.25">
      <c r="A93" s="6"/>
      <c r="B93" s="6"/>
      <c r="C93" s="6"/>
      <c r="D93" s="14"/>
      <c r="E93" s="14"/>
    </row>
    <row r="94" spans="1:5" x14ac:dyDescent="0.25">
      <c r="A94" s="6"/>
      <c r="B94" s="6"/>
      <c r="C94" s="6"/>
      <c r="D94" s="14"/>
      <c r="E94" s="14"/>
    </row>
  </sheetData>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learRowBtn1_Click">
                <anchor moveWithCells="1" sizeWithCells="1">
                  <from>
                    <xdr:col>7</xdr:col>
                    <xdr:colOff>333375</xdr:colOff>
                    <xdr:row>6</xdr:row>
                    <xdr:rowOff>66675</xdr:rowOff>
                  </from>
                  <to>
                    <xdr:col>10</xdr:col>
                    <xdr:colOff>295275</xdr:colOff>
                    <xdr:row>8</xdr:row>
                    <xdr:rowOff>152400</xdr:rowOff>
                  </to>
                </anchor>
              </controlPr>
            </control>
          </mc:Choice>
        </mc:AlternateContent>
        <mc:AlternateContent xmlns:mc="http://schemas.openxmlformats.org/markup-compatibility/2006">
          <mc:Choice Requires="x14">
            <control shapeId="10243" r:id="rId5" name="Button 3">
              <controlPr defaultSize="0" print="0" autoFill="0" autoPict="0" macro="[0]!AddPayment_Click">
                <anchor moveWithCells="1" sizeWithCells="1">
                  <from>
                    <xdr:col>7</xdr:col>
                    <xdr:colOff>304800</xdr:colOff>
                    <xdr:row>2</xdr:row>
                    <xdr:rowOff>57150</xdr:rowOff>
                  </from>
                  <to>
                    <xdr:col>10</xdr:col>
                    <xdr:colOff>276225</xdr:colOff>
                    <xdr:row>3</xdr:row>
                    <xdr:rowOff>285750</xdr:rowOff>
                  </to>
                </anchor>
              </controlPr>
            </control>
          </mc:Choice>
        </mc:AlternateContent>
        <mc:AlternateContent xmlns:mc="http://schemas.openxmlformats.org/markup-compatibility/2006">
          <mc:Choice Requires="x14">
            <control shapeId="10241" r:id="rId6" name="Button 1">
              <controlPr defaultSize="0" print="0" autoFill="0" autoPict="0" macro="[0]!RefreshAll">
                <anchor moveWithCells="1" sizeWithCells="1">
                  <from>
                    <xdr:col>10</xdr:col>
                    <xdr:colOff>590550</xdr:colOff>
                    <xdr:row>1</xdr:row>
                    <xdr:rowOff>104775</xdr:rowOff>
                  </from>
                  <to>
                    <xdr:col>13</xdr:col>
                    <xdr:colOff>161925</xdr:colOff>
                    <xdr:row>4</xdr:row>
                    <xdr:rowOff>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BA61-2BDE-4C30-98DE-5DC76A187758}">
  <sheetPr codeName="Sheet4"/>
  <dimension ref="A1:E7"/>
  <sheetViews>
    <sheetView workbookViewId="0">
      <selection activeCell="H11" sqref="H11"/>
    </sheetView>
  </sheetViews>
  <sheetFormatPr defaultRowHeight="15" x14ac:dyDescent="0.25"/>
  <cols>
    <col min="1" max="1" width="16.7109375" customWidth="1"/>
    <col min="4" max="4" width="15.42578125" customWidth="1"/>
    <col min="5" max="5" width="15.5703125" customWidth="1"/>
  </cols>
  <sheetData>
    <row r="1" spans="1:5" ht="30" x14ac:dyDescent="0.25">
      <c r="A1" s="2" t="s">
        <v>2</v>
      </c>
      <c r="B1" s="2" t="s">
        <v>20</v>
      </c>
      <c r="C1" s="2" t="s">
        <v>21</v>
      </c>
      <c r="D1" s="2" t="s">
        <v>22</v>
      </c>
      <c r="E1" s="2" t="s">
        <v>18</v>
      </c>
    </row>
    <row r="2" spans="1:5" x14ac:dyDescent="0.25">
      <c r="A2" s="3" t="s">
        <v>9</v>
      </c>
      <c r="B2" s="3">
        <v>300</v>
      </c>
      <c r="C2" s="3">
        <v>250</v>
      </c>
      <c r="D2" s="3">
        <f>B2 - C2</f>
        <v>50</v>
      </c>
      <c r="E2" s="3" t="str">
        <f>IF(D2 &lt; 0, "Over Budget", IF(D2 &gt; 0, "On Track", "On Budget"))</f>
        <v>On Track</v>
      </c>
    </row>
    <row r="3" spans="1:5" x14ac:dyDescent="0.25">
      <c r="A3" s="3" t="s">
        <v>7</v>
      </c>
      <c r="B3" s="3">
        <v>1000</v>
      </c>
      <c r="C3" s="3">
        <v>1200</v>
      </c>
      <c r="D3" s="3">
        <f t="shared" ref="D3:D6" si="0">B3 - C3</f>
        <v>-200</v>
      </c>
      <c r="E3" s="3" t="str">
        <f t="shared" ref="E3:E6" si="1">IF(D3 &lt; 0, "Over Budget", IF(D3 &gt; 0, "On Track", "On Budget"))</f>
        <v>Over Budget</v>
      </c>
    </row>
    <row r="4" spans="1:5" x14ac:dyDescent="0.25">
      <c r="A4" s="3" t="s">
        <v>11</v>
      </c>
      <c r="B4" s="3">
        <v>200</v>
      </c>
      <c r="C4" s="3">
        <v>180</v>
      </c>
      <c r="D4" s="3">
        <f t="shared" si="0"/>
        <v>20</v>
      </c>
      <c r="E4" s="3" t="str">
        <f t="shared" si="1"/>
        <v>On Track</v>
      </c>
    </row>
    <row r="5" spans="1:5" x14ac:dyDescent="0.25">
      <c r="A5" s="3" t="s">
        <v>23</v>
      </c>
      <c r="B5" s="3">
        <v>150</v>
      </c>
      <c r="C5" s="3">
        <v>130</v>
      </c>
      <c r="D5" s="3">
        <f t="shared" si="0"/>
        <v>20</v>
      </c>
      <c r="E5" s="3" t="str">
        <f t="shared" si="1"/>
        <v>On Track</v>
      </c>
    </row>
    <row r="6" spans="1:5" x14ac:dyDescent="0.25">
      <c r="A6" s="3" t="s">
        <v>24</v>
      </c>
      <c r="B6" s="3">
        <v>1650</v>
      </c>
      <c r="C6" s="3">
        <v>1760</v>
      </c>
      <c r="D6" s="3">
        <f t="shared" si="0"/>
        <v>-110</v>
      </c>
      <c r="E6" s="3" t="str">
        <f t="shared" si="1"/>
        <v>Over Budget</v>
      </c>
    </row>
    <row r="7" spans="1:5" x14ac:dyDescent="0.25">
      <c r="A7" s="6"/>
      <c r="B7" s="6"/>
      <c r="C7" s="6"/>
      <c r="D7" s="6"/>
      <c r="E7" s="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ClearRowBtn1_Click">
                <anchor moveWithCells="1" sizeWithCells="1">
                  <from>
                    <xdr:col>6</xdr:col>
                    <xdr:colOff>266700</xdr:colOff>
                    <xdr:row>4</xdr:row>
                    <xdr:rowOff>76200</xdr:rowOff>
                  </from>
                  <to>
                    <xdr:col>9</xdr:col>
                    <xdr:colOff>228600</xdr:colOff>
                    <xdr:row>6</xdr:row>
                    <xdr:rowOff>28575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61933-1748-4C62-A959-1C86740B9B82}">
  <sheetPr codeName="Sheet8"/>
  <dimension ref="A1:I6"/>
  <sheetViews>
    <sheetView workbookViewId="0">
      <selection activeCell="G14" sqref="G14"/>
    </sheetView>
  </sheetViews>
  <sheetFormatPr defaultRowHeight="15" x14ac:dyDescent="0.25"/>
  <cols>
    <col min="1" max="1" width="11" customWidth="1"/>
    <col min="2" max="2" width="14.42578125" customWidth="1"/>
    <col min="3" max="3" width="18.5703125" customWidth="1"/>
    <col min="4" max="4" width="28.42578125" customWidth="1"/>
    <col min="5" max="5" width="23.85546875" customWidth="1"/>
  </cols>
  <sheetData>
    <row r="1" spans="1:9" ht="30" x14ac:dyDescent="0.25">
      <c r="A1" s="8" t="s">
        <v>2</v>
      </c>
      <c r="B1" s="8" t="s">
        <v>6</v>
      </c>
      <c r="C1" s="2" t="s">
        <v>4</v>
      </c>
      <c r="D1" s="2" t="s">
        <v>25</v>
      </c>
      <c r="E1" s="2" t="s">
        <v>26</v>
      </c>
      <c r="F1" s="2" t="s">
        <v>27</v>
      </c>
    </row>
    <row r="2" spans="1:9" x14ac:dyDescent="0.25">
      <c r="A2" s="3" t="s">
        <v>29</v>
      </c>
      <c r="B2" s="3" t="s">
        <v>12</v>
      </c>
      <c r="C2" s="3">
        <v>2500</v>
      </c>
      <c r="D2" s="9">
        <v>0</v>
      </c>
      <c r="E2" s="3">
        <v>1</v>
      </c>
      <c r="F2" s="3"/>
      <c r="H2" s="23" t="s">
        <v>34</v>
      </c>
      <c r="I2" s="29">
        <f>SUM(C:C)</f>
        <v>14000</v>
      </c>
    </row>
    <row r="3" spans="1:9" ht="30" x14ac:dyDescent="0.25">
      <c r="A3" s="3" t="s">
        <v>28</v>
      </c>
      <c r="B3" s="3" t="s">
        <v>12</v>
      </c>
      <c r="C3" s="3">
        <v>2000</v>
      </c>
      <c r="D3" s="9">
        <v>0</v>
      </c>
      <c r="E3" s="3">
        <v>1</v>
      </c>
      <c r="F3" s="27"/>
    </row>
    <row r="4" spans="1:9" ht="30" x14ac:dyDescent="0.25">
      <c r="A4" s="3" t="s">
        <v>30</v>
      </c>
      <c r="B4" s="3" t="s">
        <v>12</v>
      </c>
      <c r="C4" s="3">
        <v>9500</v>
      </c>
      <c r="D4" s="9">
        <v>5</v>
      </c>
      <c r="E4" s="3">
        <v>24</v>
      </c>
      <c r="F4" s="47">
        <v>416.78</v>
      </c>
    </row>
    <row r="5" spans="1:9" x14ac:dyDescent="0.25">
      <c r="A5" s="3"/>
      <c r="B5" s="3"/>
      <c r="C5" s="3"/>
      <c r="D5" s="9"/>
      <c r="E5" s="3"/>
      <c r="F5" s="3"/>
    </row>
    <row r="6" spans="1:9" x14ac:dyDescent="0.25">
      <c r="A6" s="3"/>
      <c r="B6" s="3"/>
      <c r="C6" s="3"/>
      <c r="D6" s="9"/>
      <c r="E6" s="3"/>
      <c r="F6" s="2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Funds_Click">
                <anchor moveWithCells="1" sizeWithCells="1">
                  <from>
                    <xdr:col>9</xdr:col>
                    <xdr:colOff>400050</xdr:colOff>
                    <xdr:row>1</xdr:row>
                    <xdr:rowOff>171450</xdr:rowOff>
                  </from>
                  <to>
                    <xdr:col>11</xdr:col>
                    <xdr:colOff>457200</xdr:colOff>
                    <xdr:row>3</xdr:row>
                    <xdr:rowOff>200025</xdr:rowOff>
                  </to>
                </anchor>
              </controlPr>
            </control>
          </mc:Choice>
        </mc:AlternateContent>
        <mc:AlternateContent xmlns:mc="http://schemas.openxmlformats.org/markup-compatibility/2006">
          <mc:Choice Requires="x14">
            <control shapeId="23554" r:id="rId4" name="Button 2">
              <controlPr defaultSize="0" print="0" autoFill="0" autoPict="0" macro="[0]!ClearRowBtn1_Click">
                <anchor moveWithCells="1" sizeWithCells="1">
                  <from>
                    <xdr:col>9</xdr:col>
                    <xdr:colOff>457200</xdr:colOff>
                    <xdr:row>6</xdr:row>
                    <xdr:rowOff>171450</xdr:rowOff>
                  </from>
                  <to>
                    <xdr:col>12</xdr:col>
                    <xdr:colOff>209550</xdr:colOff>
                    <xdr:row>8</xdr:row>
                    <xdr:rowOff>180975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F9515-E5FD-4730-B0DB-6D9D3267C744}">
  <sheetPr codeName="Sheet9"/>
  <dimension ref="B2:G5"/>
  <sheetViews>
    <sheetView workbookViewId="0">
      <selection activeCell="C14" sqref="C14"/>
    </sheetView>
  </sheetViews>
  <sheetFormatPr defaultRowHeight="15" x14ac:dyDescent="0.25"/>
  <cols>
    <col min="2" max="2" width="46.140625" customWidth="1"/>
    <col min="3" max="3" width="16.28515625" customWidth="1"/>
    <col min="4" max="4" width="15.28515625" customWidth="1"/>
    <col min="5" max="5" width="13.140625" customWidth="1"/>
    <col min="6" max="6" width="22.5703125" customWidth="1"/>
    <col min="7" max="7" width="12.85546875" customWidth="1"/>
  </cols>
  <sheetData>
    <row r="2" spans="2:7" x14ac:dyDescent="0.25">
      <c r="B2" s="10"/>
    </row>
    <row r="3" spans="2:7" x14ac:dyDescent="0.25">
      <c r="B3" s="10"/>
      <c r="G3" s="11"/>
    </row>
    <row r="4" spans="2:7" x14ac:dyDescent="0.25">
      <c r="B4" s="10"/>
      <c r="G4" s="11"/>
    </row>
    <row r="5" spans="2:7" x14ac:dyDescent="0.25">
      <c r="B5" s="10"/>
      <c r="C5" s="10"/>
      <c r="D5" s="10"/>
      <c r="E5" s="10"/>
    </row>
  </sheetData>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9" r:id="rId4" name="Button 7">
              <controlPr defaultSize="0" print="0" autoFill="0" autoPict="0" macro="[0]!ProvideTuitionAdvice">
                <anchor moveWithCells="1" sizeWithCells="1">
                  <from>
                    <xdr:col>2</xdr:col>
                    <xdr:colOff>133350</xdr:colOff>
                    <xdr:row>5</xdr:row>
                    <xdr:rowOff>104775</xdr:rowOff>
                  </from>
                  <to>
                    <xdr:col>3</xdr:col>
                    <xdr:colOff>428625</xdr:colOff>
                    <xdr:row>8</xdr:row>
                    <xdr:rowOff>28575</xdr:rowOff>
                  </to>
                </anchor>
              </controlPr>
            </control>
          </mc:Choice>
        </mc:AlternateContent>
        <mc:AlternateContent xmlns:mc="http://schemas.openxmlformats.org/markup-compatibility/2006">
          <mc:Choice Requires="x14">
            <control shapeId="13320" r:id="rId5" name="Button 8">
              <controlPr defaultSize="0" print="0" autoFill="0" autoPict="0" macro="[0]!ProvideAdvice">
                <anchor moveWithCells="1" sizeWithCells="1">
                  <from>
                    <xdr:col>1</xdr:col>
                    <xdr:colOff>1562100</xdr:colOff>
                    <xdr:row>5</xdr:row>
                    <xdr:rowOff>57150</xdr:rowOff>
                  </from>
                  <to>
                    <xdr:col>1</xdr:col>
                    <xdr:colOff>2962275</xdr:colOff>
                    <xdr:row>8</xdr:row>
                    <xdr:rowOff>9525</xdr:rowOff>
                  </to>
                </anchor>
              </controlPr>
            </control>
          </mc:Choice>
        </mc:AlternateContent>
        <mc:AlternateContent xmlns:mc="http://schemas.openxmlformats.org/markup-compatibility/2006">
          <mc:Choice Requires="x14">
            <control shapeId="13321" r:id="rId6" name="Button 9">
              <controlPr defaultSize="0" print="0" autoFill="0" autoPict="0" macro="[0]!ProvideFundingAdvice">
                <anchor moveWithCells="1" sizeWithCells="1">
                  <from>
                    <xdr:col>3</xdr:col>
                    <xdr:colOff>714375</xdr:colOff>
                    <xdr:row>5</xdr:row>
                    <xdr:rowOff>123825</xdr:rowOff>
                  </from>
                  <to>
                    <xdr:col>5</xdr:col>
                    <xdr:colOff>200025</xdr:colOff>
                    <xdr:row>8</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405EFFFDA9C644486FCCB58A8EA5354" ma:contentTypeVersion="8" ma:contentTypeDescription="Create a new document." ma:contentTypeScope="" ma:versionID="f87f14b1ad7bdd05d7d1a921921b4f06">
  <xsd:schema xmlns:xsd="http://www.w3.org/2001/XMLSchema" xmlns:xs="http://www.w3.org/2001/XMLSchema" xmlns:p="http://schemas.microsoft.com/office/2006/metadata/properties" xmlns:ns2="9ad7a586-468b-408f-bee0-f7f70b225374" targetNamespace="http://schemas.microsoft.com/office/2006/metadata/properties" ma:root="true" ma:fieldsID="5614f9cf915cae2de6f82e8189391a14" ns2:_="">
    <xsd:import namespace="9ad7a586-468b-408f-bee0-f7f70b22537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ad7a586-468b-408f-bee0-f7f70b2253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CF4B2EFA-4881-4417-A6C1-DDA014447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ad7a586-468b-408f-bee0-f7f70b2253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F5BF1E7-AB1F-4F81-A675-581015BCADBC}">
  <ds:schemaRefs>
    <ds:schemaRef ds:uri="http://schemas.microsoft.com/sharepoint/v3/contenttype/forms"/>
  </ds:schemaRefs>
</ds:datastoreItem>
</file>

<file path=customXml/itemProps3.xml><?xml version="1.0" encoding="utf-8"?>
<ds:datastoreItem xmlns:ds="http://schemas.openxmlformats.org/officeDocument/2006/customXml" ds:itemID="{11EFF735-D625-4A91-91D3-D8AC1CA2884C}">
  <ds:schemaRefs>
    <ds:schemaRef ds:uri="http://www.w3.org/XML/1998/namespace"/>
    <ds:schemaRef ds:uri="http://purl.org/dc/elements/1.1/"/>
    <ds:schemaRef ds:uri="9ad7a586-468b-408f-bee0-f7f70b225374"/>
    <ds:schemaRef ds:uri="http://purl.org/dc/terms/"/>
    <ds:schemaRef ds:uri="http://schemas.microsoft.com/office/2006/documentManagement/types"/>
    <ds:schemaRef ds:uri="http://schemas.microsoft.com/office/2006/metadata/properties"/>
    <ds:schemaRef ds:uri="http://schemas.openxmlformats.org/package/2006/metadata/core-properties"/>
    <ds:schemaRef ds:uri="http://schemas.microsoft.com/office/infopath/2007/PartnerControls"/>
    <ds:schemaRef ds:uri="http://purl.org/dc/dcmitype/"/>
  </ds:schemaRefs>
</ds:datastoreItem>
</file>

<file path=customXml/itemProps4.xml><?xml version="1.0" encoding="utf-8"?>
<ds:datastoreItem xmlns:ds="http://schemas.openxmlformats.org/officeDocument/2006/customXml" ds:itemID="{F5F25BC6-50D2-4341-9823-1E38F12B52C2}">
  <ds:schemaRefs>
    <ds:schemaRef ds:uri="http://schemas.microsoft.com/DataMashup"/>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Expenses&amp;Incomes</vt:lpstr>
      <vt:lpstr>TuitionTracker</vt:lpstr>
      <vt:lpstr>BudgetGoals</vt:lpstr>
      <vt:lpstr>Funding</vt:lpstr>
      <vt:lpstr>FinancialAdvice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Anuhya Reddy Yalla</cp:lastModifiedBy>
  <cp:revision/>
  <cp:lastPrinted>2024-11-27T22:24:49Z</cp:lastPrinted>
  <dcterms:created xsi:type="dcterms:W3CDTF">2021-10-13T18:04:27Z</dcterms:created>
  <dcterms:modified xsi:type="dcterms:W3CDTF">2024-11-30T03:51:05Z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0x010100A405EFFFDA9C644486FCCB58A8EA5354</vt:lpwstr>
  </property>
</Properties>
</file>